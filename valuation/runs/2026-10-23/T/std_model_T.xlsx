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Distribution" sheetId="5" state="visible" r:id="rId5"/>
    <sheet xmlns:r="http://schemas.openxmlformats.org/officeDocument/2006/relationships" name="Calc - research target (12m)" sheetId="6" state="visible" r:id="rId6"/>
    <sheet xmlns:r="http://schemas.openxmlformats.org/officeDocument/2006/relationships" name="Calc - bear" sheetId="7" state="visible" r:id="rId7"/>
    <sheet xmlns:r="http://schemas.openxmlformats.org/officeDocument/2006/relationships" name="Calc - base" sheetId="8" state="visible" r:id="rId8"/>
    <sheet xmlns:r="http://schemas.openxmlformats.org/officeDocument/2006/relationships" name="Calc - bull" sheetId="9" state="visible" r:id="rId9"/>
    <sheet xmlns:r="http://schemas.openxmlformats.org/officeDocument/2006/relationships" name="Agents" sheetId="10" state="visible" r:id="rId10"/>
    <sheet xmlns:r="http://schemas.openxmlformats.org/officeDocument/2006/relationships" name="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yyyy-mm-dd"/>
    <numFmt numFmtId="165" formatCode="#,##0;(#,##0)"/>
    <numFmt numFmtId="166" formatCode="0.0%"/>
    <numFmt numFmtId="167" formatCode="0.00&quot;x&quot;"/>
    <numFmt numFmtId="168" formatCode="#,##0.0"/>
    <numFmt numFmtId="169" formatCode="$0.00"/>
    <numFmt numFmtId="170" formatCode="0.0"/>
    <numFmt numFmtId="171" formatCode="0.000"/>
    <numFmt numFmtId="172" formatCode="0.0000"/>
    <numFmt numFmtId="173" formatCode="0.0&quot;x&quot;"/>
    <numFmt numFmtId="174" formatCode="+0.0%;-0.0%;0.0%"/>
    <numFmt numFmtId="175" formatCode="yyyy-mm-dd hh:mm"/>
  </numFmts>
  <fonts count="9">
    <font>
      <name val="Calibri"/>
      <family val="2"/>
      <color theme="1"/>
      <sz val="11"/>
      <scheme val="minor"/>
    </font>
    <font>
      <b val="1"/>
    </font>
    <font>
      <color rgb="000000FF"/>
    </font>
    <font>
      <i val="1"/>
      <color rgb="00444444"/>
    </font>
    <font>
      <b val="1"/>
      <sz val="13"/>
    </font>
    <font>
      <i val="1"/>
      <color rgb="00666666"/>
    </font>
    <font>
      <color rgb="00008000"/>
    </font>
    <font>
      <color rgb="007030A0"/>
    </font>
    <font>
      <color rgb="00C55A11"/>
    </font>
  </fonts>
  <fills count="4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0" pivotButton="0" quotePrefix="0" xfId="0"/>
    <xf numFmtId="2" fontId="6" fillId="0" borderId="0" pivotButton="0" quotePrefix="0" xfId="0"/>
    <xf numFmtId="175" fontId="0" fillId="0" borderId="0" pivotButton="0" quotePrefix="0" xfId="0"/>
    <xf numFmtId="2" fontId="1" fillId="0" borderId="0" pivotButton="0" quotePrefix="0" xfId="0"/>
    <xf numFmtId="166" fontId="1" fillId="0" borderId="0" pivotButton="0" quotePrefix="0" xfId="0"/>
    <xf numFmtId="164" fontId="6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0" fontId="3" fillId="0" borderId="0" pivotButton="0" quotePrefix="0" xfId="0"/>
    <xf numFmtId="166" fontId="6" fillId="0" borderId="0" pivotButton="0" quotePrefix="0" xfId="0"/>
    <xf numFmtId="169" fontId="6" fillId="0" borderId="0" pivotButton="0" quotePrefix="0" xfId="0"/>
    <xf numFmtId="0" fontId="7" fillId="0" borderId="0" pivotButton="0" quotePrefix="0" xfId="0"/>
    <xf numFmtId="169" fontId="7" fillId="0" borderId="0" pivotButton="0" quotePrefix="0" xfId="0"/>
    <xf numFmtId="0" fontId="8" fillId="0" borderId="0" pivotButton="0" quotePrefix="0" xfId="0"/>
    <xf numFmtId="169" fontId="8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166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2" fillId="0" borderId="0" pivotButton="0" quotePrefix="0" xfId="0"/>
    <xf numFmtId="165" fontId="1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9" fontId="1" fillId="0" borderId="0" pivotButton="0" quotePrefix="0" xfId="0"/>
    <xf numFmtId="165" fontId="7" fillId="0" borderId="0" pivotButton="0" quotePrefix="0" xfId="0"/>
    <xf numFmtId="165" fontId="8" fillId="0" borderId="0" pivotButton="0" quotePrefix="0" xfId="0"/>
    <xf numFmtId="4" fontId="6" fillId="0" borderId="0" pivotButton="0" quotePrefix="0" xfId="0"/>
    <xf numFmtId="168" fontId="6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2" fontId="2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0" fontId="0" fillId="0" borderId="0" applyAlignment="1" pivotButton="0" quotePrefix="0" xfId="0">
      <alignment vertical="top" wrapText="1"/>
    </xf>
    <xf numFmtId="173" fontId="1" fillId="0" borderId="0" pivotButton="0" quotePrefix="0" xfId="0"/>
    <xf numFmtId="174" fontId="1" fillId="0" borderId="0" pivotButton="0" quotePrefix="0" xfId="0"/>
    <xf numFmtId="172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4" fontId="0" fillId="0" borderId="0" pivotButton="0" quotePrefix="0" xfId="0"/>
    <xf numFmtId="170" fontId="6" fillId="0" borderId="0" pivotButton="0" quotePrefix="0" xfId="0"/>
    <xf numFmtId="17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www.sec.gov/Archives/edgar/data/732717/000073271726000372/t-20260930.htm" TargetMode="External" Id="rId1"/><Relationship Type="http://schemas.openxmlformats.org/officeDocument/2006/relationships/hyperlink" Target="https://www.sec.gov/Archives/edgar/data/732717/000073271726000372/R17.htm" TargetMode="External" Id="rId2"/><Relationship Type="http://schemas.openxmlformats.org/officeDocument/2006/relationships/hyperlink" Target="https://www.sec.gov/Archives/edgar/data/732717/000073271726000372/R63.htm" TargetMode="External" Id="rId3"/><Relationship Type="http://schemas.openxmlformats.org/officeDocument/2006/relationships/hyperlink" Target="https://www.sec.gov/Archives/edgar/data/732717/000073271726000370/t-3q2026exhibit991.htm" TargetMode="External" Id="rId4"/><Relationship Type="http://schemas.openxmlformats.org/officeDocument/2006/relationships/hyperlink" Target="https://www.sec.gov/Archives/edgar/data/732717/000073271726000370/t-3q2026exhibit992.htm" TargetMode="External" Id="rId5"/><Relationship Type="http://schemas.openxmlformats.org/officeDocument/2006/relationships/hyperlink" Target="https://www.sec.gov/Archives/edgar/data/732717/000073271726000370/t-3q2026exhibit993.htm" TargetMode="External" Id="rId6"/><Relationship Type="http://schemas.openxmlformats.org/officeDocument/2006/relationships/hyperlink" Target="https://investors.att.com/~/media/Files/A/ATT-IR-V2/financial-reports/quarterly-earnings/2026/3Q-2026/t-usq-transcript-2026-10-21.pdf" TargetMode="External" Id="rId7"/><Relationship Type="http://schemas.openxmlformats.org/officeDocument/2006/relationships/hyperlink" Target="https://www.sec.gov/Archives/edgar/data/732717/000073271726000047/t-4q2025exhibit991.htm" TargetMode="External" Id="rId8"/><Relationship Type="http://schemas.openxmlformats.org/officeDocument/2006/relationships/hyperlink" Target="https://www.sec.gov/Archives/edgar/data/732717/000073271726000047/t-4q2025exhibit994.htm" TargetMode="External" Id="rId9"/><Relationship Type="http://schemas.openxmlformats.org/officeDocument/2006/relationships/hyperlink" Target="https://www.sec.gov/Archives/edgar/data/732717/000073271726000047/t-4q2025exhibit992.htm" TargetMode="External" Id="rId10"/><Relationship Type="http://schemas.openxmlformats.org/officeDocument/2006/relationships/hyperlink" Target="https://www.sec.gov/Archives/edgar/data/732717/000073271725000007/t-4q2024exhibit991.htm" TargetMode="External" Id="rId11"/><Relationship Type="http://schemas.openxmlformats.org/officeDocument/2006/relationships/hyperlink" Target="https://www.sec.gov/Archives/edgar/data/732717/000073271724000006/t-4q2023exhibit991.htm" TargetMode="External" Id="rId12"/><Relationship Type="http://schemas.openxmlformats.org/officeDocument/2006/relationships/hyperlink" Target="https://www.sec.gov/Archives/edgar/data/732717/000073271726000120/t-20251231.htm" TargetMode="External" Id="rId13"/><Relationship Type="http://schemas.openxmlformats.org/officeDocument/2006/relationships/hyperlink" Target="https://finviz.com/news/395407/att-declares-dividends-on-common-and-preferred-shares" TargetMode="External" Id="rId14"/><Relationship Type="http://schemas.openxmlformats.org/officeDocument/2006/relationships/hyperlink" Target="https://fool.com/investing/2026/10/23/why-att-stock-plunged-on-friday" TargetMode="External" Id="rId15"/><Relationship Type="http://schemas.openxmlformats.org/officeDocument/2006/relationships/hyperlink" Target="https://247wallst.com/investing/2026/10/23/telecom-stocks-fall-as-spacex-eyes-80000-cell-sites-t-mobile-sinks-5-att-drops-4-verizon-slides-3/" TargetMode="External" Id="rId16"/><Relationship Type="http://schemas.openxmlformats.org/officeDocument/2006/relationships/hyperlink" Target="https://www.benzinga.com/node/62281475" TargetMode="External" Id="rId17"/><Relationship Type="http://schemas.openxmlformats.org/officeDocument/2006/relationships/hyperlink" Target="https://www.lw.com/en/news/2026/10/latham-watkins-advises-on-grain-management-definitive-agreement-to-sell-spectrum-portfolio-to-spacex" TargetMode="External" Id="rId18"/><Relationship Type="http://schemas.openxmlformats.org/officeDocument/2006/relationships/hyperlink" Target="https://www.marketscreener.com/quote/stock/AT-T-INC-14324/finances/" TargetMode="External" Id="rId19"/><Relationship Type="http://schemas.openxmlformats.org/officeDocument/2006/relationships/hyperlink" Target="https://www.marketscreener.com/quote/stock/VERIZON-COMMUNICATIONS-IN-4830/valuation/" TargetMode="External" Id="rId20"/><Relationship Type="http://schemas.openxmlformats.org/officeDocument/2006/relationships/hyperlink" Target="https://api.nasdaq.com/api/analyst/T/earnings-forecast" TargetMode="External" Id="rId21"/><Relationship Type="http://schemas.openxmlformats.org/officeDocument/2006/relationships/hyperlink" Target="valuation/runs/2026-10-23/T/peers.md" TargetMode="External" Id="rId22"/><Relationship Type="http://schemas.openxmlformats.org/officeDocument/2006/relationships/hyperlink" Target="valuation/secfacts.py" TargetMode="External" Id="rId23"/><Relationship Type="http://schemas.openxmlformats.org/officeDocument/2006/relationships/hyperlink" Target="https://www.tvtechnology.com/regulatory-legal/fcc-adopts-plan-for-c-band-auction-in-july-2027" TargetMode="External" Id="rId24"/><Relationship Type="http://schemas.openxmlformats.org/officeDocument/2006/relationships/hyperlink" Target="https://www.newscaststudio.com/2026/07/22/fcc-adopts-rules-for-upper-c-band-auction-sets-stage-for-440-mhz-super-band/" TargetMode="External" Id="rId25"/><Relationship Type="http://schemas.openxmlformats.org/officeDocument/2006/relationships/hyperlink" Target="https://polymarket.com/event/spacex-becomes-a-us-mobile-carrier-by" TargetMode="External" Id="rId26"/><Relationship Type="http://schemas.openxmlformats.org/officeDocument/2006/relationships/hyperlink" Target="https://www.marketscreener.com/quote/stock/T-MOBILE-US-INC-199910225/valuation/" TargetMode="External" Id="rId27"/><Relationship Type="http://schemas.openxmlformats.org/officeDocument/2006/relationships/hyperlink" Target="https://www.marketscreener.com/quote/stock/COMCAST-CORPORATION-4864/valuation/" TargetMode="External" Id="rId28"/><Relationship Type="http://schemas.openxmlformats.org/officeDocument/2006/relationships/hyperlink" Target="https://www.marketscreener.com/quote/stock/CHARTER-COMMUNICATIONS-IN-27738754/valuation/" TargetMode="External" Id="rId29"/><Relationship Type="http://schemas.openxmlformats.org/officeDocument/2006/relationships/hyperlink" Target="https://www.marketscreener.com/quote/stock/BCE-INC-11783/valuation/" TargetMode="External" Id="rId30"/><Relationship Type="http://schemas.openxmlformats.org/officeDocument/2006/relationships/hyperlink" Target="https://www.marketscreener.com/quote/stock/ROGERS-COMMUNICATIONS-INC-1411426/valuation/" TargetMode="External" Id="rId31"/><Relationship Type="http://schemas.openxmlformats.org/officeDocument/2006/relationships/hyperlink" Target="https://www.marketscreener.com/quote/stock/DEUTSCHE-TELEKOM-AG-444661/valuation/" TargetMode="External" Id="rId32"/><Relationship Type="http://schemas.openxmlformats.org/officeDocument/2006/relationships/hyperlink" Target="https://www.marketscreener.com/quote/stock/ORANGE-4649/valuation/" TargetMode="External" Id="rId33"/><Relationship Type="http://schemas.openxmlformats.org/officeDocument/2006/relationships/hyperlink" Target="https://www.sec.gov/newsroom/press-releases/2023-29" TargetMode="External" Id="rId34"/><Relationship Type="http://schemas.openxmlformats.org/officeDocument/2006/relationships/hyperlink" Target="https://doi.org/10.1016/0304-405X(94)00798-6" TargetMode="External" Id="rId35"/><Relationship Type="http://schemas.openxmlformats.org/officeDocument/2006/relationships/hyperlink" Target="https://www.verizon.com/about/news/verizon-q3-2026-earnings-report-date" TargetMode="External" Id="rId36"/><Relationship Type="http://schemas.openxmlformats.org/officeDocument/2006/relationships/hyperlink" Target="https://finviz.com/news/393276/t-mobile-to-host-q3-2026-earnings-call-on-october-28-2026" TargetMode="External" Id="rId37"/><Relationship Type="http://schemas.openxmlformats.org/officeDocument/2006/relationships/hyperlink" Target="https://www.phonearena.com/news/at-t-t-mobile-verizon-starlink-consumer-survey-td-cowen_id183837" TargetMode="External" Id="rId38"/><Relationship Type="http://schemas.openxmlformats.org/officeDocument/2006/relationships/hyperlink" Target="https://www.marketscreener.com/quote/stock/TELEF-NICA-S-A-68962/valuation/" TargetMode="External" Id="rId39"/><Relationship Type="http://schemas.openxmlformats.org/officeDocument/2006/relationships/hyperlink" Target="https://www.marketscreener.com/quote/stock/SWISSCOM-AG-441185/valuation/" TargetMode="External" Id="rId40"/><Relationship Type="http://schemas.openxmlformats.org/officeDocument/2006/relationships/hyperlink" Target="https://www.marketscreener.com/quote/stock/VODAFONE-GROUP-PLC-15867071/valuation/" TargetMode="External" Id="rId41"/><Relationship Type="http://schemas.openxmlformats.org/officeDocument/2006/relationships/hyperlink" Target="https://www.marketscreener.com/quote/stock/TELUS-CORPORATION-1411858/valuation/" TargetMode="External" Id="rId42"/><Relationship Type="http://schemas.openxmlformats.org/officeDocument/2006/relationships/hyperlink" Target="https://www.sec.gov/Archives/edgar/data/718940/000119312526095004/d86374dex992.htm" TargetMode="External" Id="rId43"/><Relationship Type="http://schemas.openxmlformats.org/officeDocument/2006/relationships/hyperlink" Target="https://assets.ctfassets.net/fltupc9ltp8m/5XMfEtySOfXg9mh25TUeS/2b711837335ec72e214a6130cae20392/TELUS_2025_MD_A_and_Financial_Statements__EN.pdf" TargetMode="External" Id="rId44"/><Relationship Type="http://schemas.openxmlformats.org/officeDocument/2006/relationships/hyperlink" Target="https://assets.ctfassets.net/fltupc9ltp8m/6yTBJyA0R6F67yWR3fnKfC/ad1a6418c93125dc78f3186ae32f4729/TELUS_Q4_2025_IR_Supplemental.pdf" TargetMode="External" Id="rId45"/><Relationship Type="http://schemas.openxmlformats.org/officeDocument/2006/relationships/hyperlink" Target="https://www.sec.gov/Archives/edgar/data/733099/000073309926000009/rci-20251231_d2.htm" TargetMode="External" Id="rId46"/><Relationship Type="http://schemas.openxmlformats.org/officeDocument/2006/relationships/hyperlink" Target="https://www.telekom.com/en/newsroom/latest-updates/media-information/2026/2/deutsche-telekom-outperforms-targets-for-2025" TargetMode="External" Id="rId47"/><Relationship Type="http://schemas.openxmlformats.org/officeDocument/2006/relationships/hyperlink" Target="https://www.orange.com/en/press-release/success-of-lead-the-future-2023-2025-strategic-plan-2025-objectives-fully-achieved-440051" TargetMode="External" Id="rId48"/><Relationship Type="http://schemas.openxmlformats.org/officeDocument/2006/relationships/hyperlink" Target="https://www.telefonica.com/en/communication-room/press-room/telefonica-accelerates-growth-quarter-2025-increases-revenues-adjusted-ebitda-free-cash-flow/" TargetMode="External" Id="rId49"/><Relationship Type="http://schemas.openxmlformats.org/officeDocument/2006/relationships/hyperlink" Target="https://www.swisscom.ch/de/about/investoren/kennzahlen/fuenfjahresuebersicht.html" TargetMode="External" Id="rId50"/><Relationship Type="http://schemas.openxmlformats.org/officeDocument/2006/relationships/hyperlink" Target="https://www.vodafone.com/~/media/Files/V/vodafone/corp/results-and-presentations/vodafone-fy26-preliminary-results.pdf" TargetMode="External" Id="rId51"/><Relationship Type="http://schemas.openxmlformats.org/officeDocument/2006/relationships/hyperlink" Target="https://docs.fcc.gov/public/attachments/DA-26-769A1.pdf" TargetMode="External" Id="rId52"/><Relationship Type="http://schemas.openxmlformats.org/officeDocument/2006/relationships/hyperlink" Target="https://www.joneswalker.com/en/insights/blogs/perspectives/fcc-opens-the-door-to-auction-115-how-the-upper-c-band-auction-could-shape-the-n.html" TargetMode="External" Id="rId53"/><Relationship Type="http://schemas.openxmlformats.org/officeDocument/2006/relationships/hyperlink" Target="https://benton.org/node/361225" TargetMode="External" Id="rId54"/><Relationship Type="http://schemas.openxmlformats.org/officeDocument/2006/relationships/hyperlink" Target="https://twelvedata.com/markets/stocks/T" TargetMode="External" Id="rId55"/><Relationship Type="http://schemas.openxmlformats.org/officeDocument/2006/relationships/hyperlink" Target="/mnt/project-files/wrds/results/blend_weights/README.md" TargetMode="External" Id="rId56"/><Relationship Type="http://schemas.openxmlformats.org/officeDocument/2006/relationships/hyperlink" Target="https://www.tikr.com/blog/verizon-stock-is-8-off-its-september-peak-heres-the-q3-test-its-ceo-set" TargetMode="External" Id="rId57"/><Relationship Type="http://schemas.openxmlformats.org/officeDocument/2006/relationships/hyperlink" Target="https://www.sec.gov/Archives/edgar/data/732717/000073271723000007/t-4q2022exhibit991.htm" TargetMode="External" Id="rId58"/><Relationship Type="http://schemas.openxmlformats.org/officeDocument/2006/relationships/hyperlink" Target="https://www.sec.gov/Archives/edgar/data/732717/000073271726000372/R6.htm" TargetMode="External" Id="rId59"/><Relationship Type="http://schemas.openxmlformats.org/officeDocument/2006/relationships/hyperlink" Target="https://www.sec.gov/Archives/edgar/data/732717/000073271726000120/R26.htm" TargetMode="External" Id="rId60"/><Relationship Type="http://schemas.openxmlformats.org/officeDocument/2006/relationships/hyperlink" Target="https://www.sec.gov/Archives/edgar/data/718940/000119312526095004/R114.htm" TargetMode="External" Id="rId61"/><Relationship Type="http://schemas.openxmlformats.org/officeDocument/2006/relationships/hyperlink" Target="https://www.sec.gov/Archives/edgar/data/718940/000119312526095004/R113.htm" TargetMode="External" Id="rId62"/><Relationship Type="http://schemas.openxmlformats.org/officeDocument/2006/relationships/hyperlink" Target="https://www.sec.gov/Archives/edgar/data/718940/000119312526095004/R34.htm" TargetMode="External" Id="rId63"/><Relationship Type="http://schemas.openxmlformats.org/officeDocument/2006/relationships/hyperlink" Target="https://www.sec.gov/Archives/edgar/data/868675/000110465926013854/R125.htm" TargetMode="External" Id="rId64"/><Relationship Type="http://schemas.openxmlformats.org/officeDocument/2006/relationships/hyperlink" Target="https://www.sec.gov/Archives/edgar/data/868675/000110465926013854/R97.htm" TargetMode="External" Id="rId65"/><Relationship Type="http://schemas.openxmlformats.org/officeDocument/2006/relationships/hyperlink" Target="https://www.sec.gov/Archives/edgar/data/868675/000110465926013854/R75.htm" TargetMode="External" Id="rId66"/><Relationship Type="http://schemas.openxmlformats.org/officeDocument/2006/relationships/hyperlink" Target="https://www.sec.gov/Archives/edgar/data/733099/000073309926000009/R104.htm" TargetMode="External" Id="rId67"/><Relationship Type="http://schemas.openxmlformats.org/officeDocument/2006/relationships/hyperlink" Target="https://www.telecomtv.com/content/access-evolution/orange-2025-results-success-of-lead-the-future-2023-2025-strategic-plan-2025-objectives-fully-achieved-54885/" TargetMode="External" Id="rId68"/><Relationship Type="http://schemas.openxmlformats.org/officeDocument/2006/relationships/hyperlink" Target="https://www.lightreading.com/5g/verizon-at-t-t-mobile-here-are-the-c-band-auction-results" TargetMode="External" Id="rId69"/><Relationship Type="http://schemas.openxmlformats.org/officeDocument/2006/relationships/hyperlink" Target="https://www.sec.gov/Archives/edgar/data/732717/000119312526318207/d101711dfwp.htm" TargetMode="External" Id="rId70"/><Relationship Type="http://schemas.openxmlformats.org/officeDocument/2006/relationships/hyperlink" Target="https://cordcuttersnews.com/fcc-agenda-targets-better-wireless-coverage-stronger-equipment-checks-and-rural-broadband-oversight/?amp=1" TargetMode="External" Id="rId71"/><Relationship Type="http://schemas.openxmlformats.org/officeDocument/2006/relationships/hyperlink" Target="https://www.sec.gov/Archives/edgar/data/732717/000073271726000120/" TargetMode="External" Id="rId72"/><Relationship Type="http://schemas.openxmlformats.org/officeDocument/2006/relationships/hyperlink" Target="https://www.sec.gov/Archives/edgar/data/732717/000073271726000120/" TargetMode="External" Id="rId73"/><Relationship Type="http://schemas.openxmlformats.org/officeDocument/2006/relationships/hyperlink" Target="https://www.sec.gov/Archives/edgar/data/732717/000073271726000120/" TargetMode="External" Id="rId74"/><Relationship Type="http://schemas.openxmlformats.org/officeDocument/2006/relationships/hyperlink" Target="https://www.sec.gov/Archives/edgar/data/732717/000073271726000372/" TargetMode="External" Id="rId75"/><Relationship Type="http://schemas.openxmlformats.org/officeDocument/2006/relationships/hyperlink" Target="https://www.sec.gov/Archives/edgar/data/732717/000073271726000372/" TargetMode="External" Id="rId76"/><Relationship Type="http://schemas.openxmlformats.org/officeDocument/2006/relationships/hyperlink" Target="https://www.sec.gov/Archives/edgar/data/732717/000073271726000372/" TargetMode="External" Id="rId77"/><Relationship Type="http://schemas.openxmlformats.org/officeDocument/2006/relationships/hyperlink" Target="https://www.sec.gov/Archives/edgar/data/732717/000073271726000120/" TargetMode="External" Id="rId78"/><Relationship Type="http://schemas.openxmlformats.org/officeDocument/2006/relationships/hyperlink" Target="https://www.sec.gov/Archives/edgar/data/732717/000073271726000120/" TargetMode="External" Id="rId79"/><Relationship Type="http://schemas.openxmlformats.org/officeDocument/2006/relationships/hyperlink" Target="https://www.sec.gov/Archives/edgar/data/732717/000073271726000120/" TargetMode="External" Id="rId80"/><Relationship Type="http://schemas.openxmlformats.org/officeDocument/2006/relationships/hyperlink" Target="https://www.sec.gov/Archives/edgar/data/732717/000073271726000372/" TargetMode="External" Id="rId81"/><Relationship Type="http://schemas.openxmlformats.org/officeDocument/2006/relationships/hyperlink" Target="https://www.sec.gov/Archives/edgar/data/732717/000073271726000372/" TargetMode="External" Id="rId82"/><Relationship Type="http://schemas.openxmlformats.org/officeDocument/2006/relationships/hyperlink" Target="https://www.sec.gov/Archives/edgar/data/732717/000073271726000372/" TargetMode="External" Id="rId83"/><Relationship Type="http://schemas.openxmlformats.org/officeDocument/2006/relationships/hyperlink" Target="https://www.sec.gov/Archives/edgar/data/732717/000073271726000120/" TargetMode="External" Id="rId84"/><Relationship Type="http://schemas.openxmlformats.org/officeDocument/2006/relationships/hyperlink" Target="https://www.sec.gov/Archives/edgar/data/732717/000073271726000120/" TargetMode="External" Id="rId85"/><Relationship Type="http://schemas.openxmlformats.org/officeDocument/2006/relationships/hyperlink" Target="https://www.sec.gov/Archives/edgar/data/732717/000073271726000120/" TargetMode="External" Id="rId86"/><Relationship Type="http://schemas.openxmlformats.org/officeDocument/2006/relationships/hyperlink" Target="https://www.sec.gov/Archives/edgar/data/732717/000073271726000372/" TargetMode="External" Id="rId87"/><Relationship Type="http://schemas.openxmlformats.org/officeDocument/2006/relationships/hyperlink" Target="https://www.sec.gov/Archives/edgar/data/732717/000073271726000372/" TargetMode="External" Id="rId88"/><Relationship Type="http://schemas.openxmlformats.org/officeDocument/2006/relationships/hyperlink" Target="https://www.sec.gov/Archives/edgar/data/732717/000073271726000372/" TargetMode="External" Id="rId89"/><Relationship Type="http://schemas.openxmlformats.org/officeDocument/2006/relationships/hyperlink" Target="https://www.sec.gov/Archives/edgar/data/732717/000073271726000120/" TargetMode="External" Id="rId90"/><Relationship Type="http://schemas.openxmlformats.org/officeDocument/2006/relationships/hyperlink" Target="https://www.sec.gov/Archives/edgar/data/732717/000073271726000120/" TargetMode="External" Id="rId91"/><Relationship Type="http://schemas.openxmlformats.org/officeDocument/2006/relationships/hyperlink" Target="https://www.sec.gov/Archives/edgar/data/732717/000073271726000120/" TargetMode="External" Id="rId92"/><Relationship Type="http://schemas.openxmlformats.org/officeDocument/2006/relationships/hyperlink" Target="https://www.sec.gov/Archives/edgar/data/732717/000073271726000372/" TargetMode="External" Id="rId93"/><Relationship Type="http://schemas.openxmlformats.org/officeDocument/2006/relationships/hyperlink" Target="https://www.sec.gov/Archives/edgar/data/732717/000073271726000372/" TargetMode="External" Id="rId94"/><Relationship Type="http://schemas.openxmlformats.org/officeDocument/2006/relationships/hyperlink" Target="https://www.sec.gov/Archives/edgar/data/732717/000073271726000372/" TargetMode="External" Id="rId95"/><Relationship Type="http://schemas.openxmlformats.org/officeDocument/2006/relationships/hyperlink" Target="https://www.sec.gov/Archives/edgar/data/732717/000073271726000120/" TargetMode="External" Id="rId96"/><Relationship Type="http://schemas.openxmlformats.org/officeDocument/2006/relationships/hyperlink" Target="https://www.sec.gov/Archives/edgar/data/732717/000073271726000120/" TargetMode="External" Id="rId97"/><Relationship Type="http://schemas.openxmlformats.org/officeDocument/2006/relationships/hyperlink" Target="https://www.sec.gov/Archives/edgar/data/732717/000073271726000120/" TargetMode="External" Id="rId98"/><Relationship Type="http://schemas.openxmlformats.org/officeDocument/2006/relationships/hyperlink" Target="https://www.sec.gov/Archives/edgar/data/732717/000073271726000372/" TargetMode="External" Id="rId99"/><Relationship Type="http://schemas.openxmlformats.org/officeDocument/2006/relationships/hyperlink" Target="https://www.sec.gov/Archives/edgar/data/732717/000073271726000372/" TargetMode="External" Id="rId100"/><Relationship Type="http://schemas.openxmlformats.org/officeDocument/2006/relationships/hyperlink" Target="https://www.sec.gov/Archives/edgar/data/732717/000073271726000372/" TargetMode="External" Id="rId101"/><Relationship Type="http://schemas.openxmlformats.org/officeDocument/2006/relationships/hyperlink" Target="https://www.sec.gov/Archives/edgar/data/732717/000073271726000120/" TargetMode="External" Id="rId102"/><Relationship Type="http://schemas.openxmlformats.org/officeDocument/2006/relationships/hyperlink" Target="https://www.sec.gov/Archives/edgar/data/732717/000073271726000120/" TargetMode="External" Id="rId103"/><Relationship Type="http://schemas.openxmlformats.org/officeDocument/2006/relationships/hyperlink" Target="https://www.sec.gov/Archives/edgar/data/732717/000073271726000120/" TargetMode="External" Id="rId104"/><Relationship Type="http://schemas.openxmlformats.org/officeDocument/2006/relationships/hyperlink" Target="https://www.sec.gov/Archives/edgar/data/732717/000073271726000372/" TargetMode="External" Id="rId105"/><Relationship Type="http://schemas.openxmlformats.org/officeDocument/2006/relationships/hyperlink" Target="https://www.sec.gov/Archives/edgar/data/732717/000073271726000372/" TargetMode="External" Id="rId106"/><Relationship Type="http://schemas.openxmlformats.org/officeDocument/2006/relationships/hyperlink" Target="https://www.sec.gov/Archives/edgar/data/732717/000073271726000372/" TargetMode="External" Id="rId107"/><Relationship Type="http://schemas.openxmlformats.org/officeDocument/2006/relationships/hyperlink" Target="https://www.sec.gov/Archives/edgar/data/732717/000073271726000120/" TargetMode="External" Id="rId108"/><Relationship Type="http://schemas.openxmlformats.org/officeDocument/2006/relationships/hyperlink" Target="https://www.sec.gov/Archives/edgar/data/732717/000073271726000120/" TargetMode="External" Id="rId109"/><Relationship Type="http://schemas.openxmlformats.org/officeDocument/2006/relationships/hyperlink" Target="https://www.sec.gov/Archives/edgar/data/732717/000073271726000120/" TargetMode="External" Id="rId110"/><Relationship Type="http://schemas.openxmlformats.org/officeDocument/2006/relationships/hyperlink" Target="https://www.sec.gov/Archives/edgar/data/732717/000073271726000120/" TargetMode="External" Id="rId111"/><Relationship Type="http://schemas.openxmlformats.org/officeDocument/2006/relationships/hyperlink" Target="https://www.sec.gov/Archives/edgar/data/732717/000073271726000120/" TargetMode="External" Id="rId112"/><Relationship Type="http://schemas.openxmlformats.org/officeDocument/2006/relationships/hyperlink" Target="https://www.sec.gov/Archives/edgar/data/732717/000073271726000120/" TargetMode="External" Id="rId113"/><Relationship Type="http://schemas.openxmlformats.org/officeDocument/2006/relationships/hyperlink" Target="https://www.sec.gov/Archives/edgar/data/732717/000073271726000120/" TargetMode="External" Id="rId114"/><Relationship Type="http://schemas.openxmlformats.org/officeDocument/2006/relationships/hyperlink" Target="https://www.sec.gov/Archives/edgar/data/732717/000073271726000120/" TargetMode="External" Id="rId115"/><Relationship Type="http://schemas.openxmlformats.org/officeDocument/2006/relationships/hyperlink" Target="https://www.sec.gov/Archives/edgar/data/732717/000073271726000120/" TargetMode="External" Id="rId116"/><Relationship Type="http://schemas.openxmlformats.org/officeDocument/2006/relationships/hyperlink" Target="https://www.sec.gov/Archives/edgar/data/732717/000073271726000372/" TargetMode="External" Id="rId117"/><Relationship Type="http://schemas.openxmlformats.org/officeDocument/2006/relationships/hyperlink" Target="https://www.sec.gov/Archives/edgar/data/732717/000073271726000372/" TargetMode="External" Id="rId118"/><Relationship Type="http://schemas.openxmlformats.org/officeDocument/2006/relationships/hyperlink" Target="https://www.sec.gov/Archives/edgar/data/732717/000073271726000206/" TargetMode="External" Id="rId119"/><Relationship Type="http://schemas.openxmlformats.org/officeDocument/2006/relationships/hyperlink" Target="https://www.sec.gov/Archives/edgar/data/732717/000073271726000120/" TargetMode="External" Id="rId120"/><Relationship Type="http://schemas.openxmlformats.org/officeDocument/2006/relationships/hyperlink" Target="https://www.sec.gov/Archives/edgar/data/732717/000073271726000120/" TargetMode="External" Id="rId121"/><Relationship Type="http://schemas.openxmlformats.org/officeDocument/2006/relationships/hyperlink" Target="https://www.sec.gov/Archives/edgar/data/732717/000073271726000120/" TargetMode="External" Id="rId122"/><Relationship Type="http://schemas.openxmlformats.org/officeDocument/2006/relationships/hyperlink" Target="https://www.sec.gov/Archives/edgar/data/732717/000073271726000372/" TargetMode="External" Id="rId123"/><Relationship Type="http://schemas.openxmlformats.org/officeDocument/2006/relationships/hyperlink" Target="https://www.sec.gov/Archives/edgar/data/732717/000073271726000372/" TargetMode="External" Id="rId124"/><Relationship Type="http://schemas.openxmlformats.org/officeDocument/2006/relationships/hyperlink" Target="https://www.sec.gov/Archives/edgar/data/732717/000073271726000206/" TargetMode="External" Id="rId125"/><Relationship Type="http://schemas.openxmlformats.org/officeDocument/2006/relationships/hyperlink" Target="https://www.sec.gov/Archives/edgar/data/732717/000073271726000120/" TargetMode="External" Id="rId126"/><Relationship Type="http://schemas.openxmlformats.org/officeDocument/2006/relationships/hyperlink" Target="https://www.sec.gov/Archives/edgar/data/732717/000073271726000120/" TargetMode="External" Id="rId127"/><Relationship Type="http://schemas.openxmlformats.org/officeDocument/2006/relationships/hyperlink" Target="https://www.sec.gov/Archives/edgar/data/732717/000073271726000120/" TargetMode="External" Id="rId128"/><Relationship Type="http://schemas.openxmlformats.org/officeDocument/2006/relationships/hyperlink" Target="https://www.sec.gov/Archives/edgar/data/732717/000073271726000372/" TargetMode="External" Id="rId129"/><Relationship Type="http://schemas.openxmlformats.org/officeDocument/2006/relationships/hyperlink" Target="https://www.sec.gov/Archives/edgar/data/732717/000073271726000372/" TargetMode="External" Id="rId130"/><Relationship Type="http://schemas.openxmlformats.org/officeDocument/2006/relationships/hyperlink" Target="https://www.sec.gov/Archives/edgar/data/732717/000073271726000206/" TargetMode="External" Id="rId131"/><Relationship Type="http://schemas.openxmlformats.org/officeDocument/2006/relationships/hyperlink" Target="https://www.sec.gov/Archives/edgar/data/732717/000073271726000120/" TargetMode="External" Id="rId132"/><Relationship Type="http://schemas.openxmlformats.org/officeDocument/2006/relationships/hyperlink" Target="https://www.sec.gov/Archives/edgar/data/732717/000073271726000120/" TargetMode="External" Id="rId133"/><Relationship Type="http://schemas.openxmlformats.org/officeDocument/2006/relationships/hyperlink" Target="https://www.sec.gov/Archives/edgar/data/732717/000073271726000120/" TargetMode="External" Id="rId134"/><Relationship Type="http://schemas.openxmlformats.org/officeDocument/2006/relationships/hyperlink" Target="https://www.sec.gov/Archives/edgar/data/732717/000073271726000372/" TargetMode="External" Id="rId135"/><Relationship Type="http://schemas.openxmlformats.org/officeDocument/2006/relationships/hyperlink" Target="https://www.sec.gov/Archives/edgar/data/732717/000073271726000372/" TargetMode="External" Id="rId136"/><Relationship Type="http://schemas.openxmlformats.org/officeDocument/2006/relationships/hyperlink" Target="https://www.sec.gov/Archives/edgar/data/732717/000073271726000372/" TargetMode="External" Id="rId137"/><Relationship Type="http://schemas.openxmlformats.org/officeDocument/2006/relationships/hyperlink" Target="https://www.sec.gov/Archives/edgar/data/732717/000073271726000120/" TargetMode="External" Id="rId138"/><Relationship Type="http://schemas.openxmlformats.org/officeDocument/2006/relationships/hyperlink" Target="https://www.sec.gov/Archives/edgar/data/732717/000073271726000120/" TargetMode="External" Id="rId139"/><Relationship Type="http://schemas.openxmlformats.org/officeDocument/2006/relationships/hyperlink" Target="https://www.sec.gov/Archives/edgar/data/732717/000073271726000120/" TargetMode="External" Id="rId140"/><Relationship Type="http://schemas.openxmlformats.org/officeDocument/2006/relationships/hyperlink" Target="https://www.sec.gov/Archives/edgar/data/732717/000073271726000372/" TargetMode="External" Id="rId141"/><Relationship Type="http://schemas.openxmlformats.org/officeDocument/2006/relationships/hyperlink" Target="https://www.sec.gov/Archives/edgar/data/732717/000073271726000372/" TargetMode="External" Id="rId142"/><Relationship Type="http://schemas.openxmlformats.org/officeDocument/2006/relationships/hyperlink" Target="https://www.sec.gov/Archives/edgar/data/732717/000073271726000372/" TargetMode="External" Id="rId143"/><Relationship Type="http://schemas.openxmlformats.org/officeDocument/2006/relationships/hyperlink" Target="https://www.sec.gov/Archives/edgar/data/732717/000073271726000120/" TargetMode="External" Id="rId144"/><Relationship Type="http://schemas.openxmlformats.org/officeDocument/2006/relationships/hyperlink" Target="https://www.sec.gov/Archives/edgar/data/732717/000073271726000120/" TargetMode="External" Id="rId145"/><Relationship Type="http://schemas.openxmlformats.org/officeDocument/2006/relationships/hyperlink" Target="https://www.sec.gov/Archives/edgar/data/732717/000073271726000120/" TargetMode="External" Id="rId146"/><Relationship Type="http://schemas.openxmlformats.org/officeDocument/2006/relationships/hyperlink" Target="https://www.sec.gov/Archives/edgar/data/732717/000073271726000372/" TargetMode="External" Id="rId147"/><Relationship Type="http://schemas.openxmlformats.org/officeDocument/2006/relationships/hyperlink" Target="https://www.sec.gov/Archives/edgar/data/732717/000073271726000372/" TargetMode="External" Id="rId148"/><Relationship Type="http://schemas.openxmlformats.org/officeDocument/2006/relationships/hyperlink" Target="https://www.sec.gov/Archives/edgar/data/732717/000073271726000372/" TargetMode="External" Id="rId149"/><Relationship Type="http://schemas.openxmlformats.org/officeDocument/2006/relationships/hyperlink" Target="https://www.sec.gov/Archives/edgar/data/732717/000073271726000372/" TargetMode="External" Id="rId150"/><Relationship Type="http://schemas.openxmlformats.org/officeDocument/2006/relationships/hyperlink" Target="https://www.sec.gov/Archives/edgar/data/732717/000073271726000372/" TargetMode="External" Id="rId151"/><Relationship Type="http://schemas.openxmlformats.org/officeDocument/2006/relationships/hyperlink" Target="https://www.sec.gov/Archives/edgar/data/732717/000073271726000372/" TargetMode="External" Id="rId152"/><Relationship Type="http://schemas.openxmlformats.org/officeDocument/2006/relationships/hyperlink" Target="https://www.sec.gov/Archives/edgar/data/732717/000073271726000372/" TargetMode="External" Id="rId1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T standard model (trial) · research run 2026-10-23</t>
        </is>
      </c>
    </row>
    <row r="2">
      <c r="A2" s="2" t="inlineStr">
        <is>
          <t>The supervisor's reconciled assumption set as a live model. Trial: shown beside the blended page target, not used for trade levels until its weight is decided. Edit blue cells on Model (drivers) and Valuation (assumptions).</t>
        </is>
      </c>
    </row>
    <row r="3">
      <c r="A3" s="3" t="inlineStr">
        <is>
          <t>Price target box</t>
        </is>
      </c>
      <c r="B3" s="3" t="inlineStr">
        <is>
          <t>Value</t>
        </is>
      </c>
    </row>
    <row r="4">
      <c r="A4" t="inlineStr">
        <is>
          <t>Live price</t>
        </is>
      </c>
      <c r="B4" s="4">
        <f>IFERROR(GOOGLEFINANCE("T","price"),Valuation!$B$68)</f>
        <v/>
      </c>
    </row>
    <row r="5">
      <c r="A5" t="inlineStr">
        <is>
          <t>Price as of</t>
        </is>
      </c>
      <c r="B5" s="5">
        <f>NOW()</f>
        <v/>
      </c>
    </row>
    <row r="6">
      <c r="A6" t="inlineStr">
        <is>
          <t>Model target (12-month median)</t>
        </is>
      </c>
      <c r="B6" s="6">
        <f>Distribution!$B$13</f>
        <v/>
      </c>
    </row>
    <row r="7">
      <c r="A7" t="inlineStr">
        <is>
          <t>Upside to model target from live price</t>
        </is>
      </c>
      <c r="B7" s="7">
        <f>B6/B4-1</f>
        <v/>
      </c>
    </row>
    <row r="8">
      <c r="A8" t="inlineStr">
        <is>
          <t>Research target (12m) (no scenario deltas)</t>
        </is>
      </c>
      <c r="B8" s="4">
        <f>Valuation!$D$8</f>
        <v/>
      </c>
    </row>
    <row r="9">
      <c r="A9" t="inlineStr">
        <is>
          <t>Probability-weighted mean</t>
        </is>
      </c>
      <c r="B9" s="4">
        <f>Distribution!$B$10</f>
        <v/>
      </c>
    </row>
    <row r="10">
      <c r="A10" t="inlineStr">
        <is>
          <t>10th percentile</t>
        </is>
      </c>
      <c r="B10" s="4">
        <f>Distribution!$B$14</f>
        <v/>
      </c>
    </row>
    <row r="11">
      <c r="A11" t="inlineStr">
        <is>
          <t>25th percentile</t>
        </is>
      </c>
      <c r="B11" s="4">
        <f>Distribution!$B$15</f>
        <v/>
      </c>
    </row>
    <row r="12">
      <c r="A12" t="inlineStr">
        <is>
          <t>75th percentile</t>
        </is>
      </c>
      <c r="B12" s="4">
        <f>Distribution!$B$16</f>
        <v/>
      </c>
    </row>
    <row r="13">
      <c r="A13" t="inlineStr">
        <is>
          <t>90th percentile</t>
        </is>
      </c>
      <c r="B13" s="4">
        <f>Distribution!$B$17</f>
        <v/>
      </c>
    </row>
    <row r="14">
      <c r="A14" t="inlineStr">
        <is>
          <t>Target date</t>
        </is>
      </c>
      <c r="B14" s="8">
        <f>Valuation!$B$46</f>
        <v/>
      </c>
    </row>
    <row r="15">
      <c r="A15" t="inlineStr">
        <is>
          <t>Price at the run</t>
        </is>
      </c>
      <c r="B15" s="4">
        <f>Valuation!$B$68</f>
        <v/>
      </c>
    </row>
    <row r="16">
      <c r="A16" t="inlineStr">
        <is>
          <t>Blended page target (options 67% + agents 33%, not live)</t>
        </is>
      </c>
      <c r="B16" s="9" t="n">
        <v>22.6484</v>
      </c>
    </row>
    <row r="17">
      <c r="A17" t="inlineStr">
        <is>
          <t>Supervisor research target (12m) (its own methods)</t>
        </is>
      </c>
      <c r="B17" s="9" t="n">
        <v>23.16</v>
      </c>
    </row>
    <row r="18">
      <c r="A18" t="inlineStr">
        <is>
          <t>Thesis break price (supervisor)</t>
        </is>
      </c>
      <c r="B18" s="9" t="n">
        <v>16.5</v>
      </c>
    </row>
    <row r="19">
      <c r="A19" t="inlineStr">
        <is>
          <t>Supervisor confidence</t>
        </is>
      </c>
      <c r="B19" t="inlineStr">
        <is>
          <t>low</t>
        </is>
      </c>
    </row>
    <row r="21">
      <c r="A21" s="3" t="inlineStr">
        <is>
          <t>Key estimates</t>
        </is>
      </c>
      <c r="B21" s="3" t="inlineStr">
        <is>
          <t>FY2025A</t>
        </is>
      </c>
      <c r="C21" s="3">
        <f>Model!E5</f>
        <v/>
      </c>
      <c r="D21" s="3">
        <f>Model!F5</f>
        <v/>
      </c>
    </row>
    <row r="22">
      <c r="A22" t="inlineStr">
        <is>
          <t>Net sales</t>
        </is>
      </c>
      <c r="B22" s="10">
        <f>IF(Model!D36="","",Model!D36)</f>
        <v/>
      </c>
      <c r="C22" s="10">
        <f>Model!E36</f>
        <v/>
      </c>
      <c r="D22" s="10">
        <f>Model!F36</f>
        <v/>
      </c>
    </row>
    <row r="23">
      <c r="A23" s="11" t="inlineStr">
        <is>
          <t xml:space="preserve">  % YoY</t>
        </is>
      </c>
      <c r="B23" s="12">
        <f>IF(Model!D37="","",Model!D37)</f>
        <v/>
      </c>
      <c r="C23" s="12">
        <f>Model!E37</f>
        <v/>
      </c>
      <c r="D23" s="12">
        <f>Model!F37</f>
        <v/>
      </c>
    </row>
    <row r="24">
      <c r="A24" t="inlineStr">
        <is>
          <t>Pretax margin</t>
        </is>
      </c>
      <c r="B24" s="12">
        <f>IF(Model!D47="","",Model!D47)</f>
        <v/>
      </c>
      <c r="C24" s="12">
        <f>Model!E47</f>
        <v/>
      </c>
      <c r="D24" s="12">
        <f>Model!F47</f>
        <v/>
      </c>
    </row>
    <row r="25">
      <c r="A25" t="inlineStr">
        <is>
          <t>Diluted EPS (model)</t>
        </is>
      </c>
      <c r="B25" s="13">
        <f>IF(Model!D54="","",Model!D54)</f>
        <v/>
      </c>
      <c r="C25" s="13">
        <f>Model!E54</f>
        <v/>
      </c>
      <c r="D25" s="13">
        <f>Model!F54</f>
        <v/>
      </c>
    </row>
    <row r="26">
      <c r="A26" s="11" t="inlineStr">
        <is>
          <t xml:space="preserve">  % YoY</t>
        </is>
      </c>
      <c r="B26" s="12">
        <f>IF(Model!D55="","",Model!D55)</f>
        <v/>
      </c>
      <c r="C26" s="12">
        <f>Model!E55</f>
        <v/>
      </c>
      <c r="D26" s="12">
        <f>Model!F55</f>
        <v/>
      </c>
    </row>
    <row r="27">
      <c r="A27" t="inlineStr">
        <is>
          <t>Free cash flow to firm</t>
        </is>
      </c>
      <c r="B27" s="10">
        <f>IF(Model!D64="","",Model!D64)</f>
        <v/>
      </c>
      <c r="C27" s="10">
        <f>Model!E64</f>
        <v/>
      </c>
      <c r="D27" s="10">
        <f>Model!F64</f>
        <v/>
      </c>
    </row>
    <row r="28">
      <c r="A28" s="14" t="inlineStr">
        <is>
          <t>Guidance midpoint: EPS (adjusted)</t>
        </is>
      </c>
      <c r="C28" s="15" t="n">
        <v>2.4</v>
      </c>
    </row>
    <row r="29">
      <c r="A29" s="16" t="inlineStr">
        <is>
          <t>Consensus: EPS (MarketScreener consensus basis)</t>
        </is>
      </c>
      <c r="D29" s="17" t="n">
        <v>2.621</v>
      </c>
    </row>
    <row r="31">
      <c r="A31" s="3" t="inlineStr">
        <is>
          <t>Valuation method</t>
        </is>
      </c>
      <c r="B31" s="3" t="inlineStr">
        <is>
          <t>Value per share</t>
        </is>
      </c>
      <c r="C31" s="3" t="inlineStr">
        <is>
          <t>Weight</t>
        </is>
      </c>
    </row>
    <row r="32">
      <c r="A32" s="18">
        <f>Valuation!A4</f>
        <v/>
      </c>
      <c r="B32" s="4">
        <f>Valuation!D4</f>
        <v/>
      </c>
      <c r="C32" s="12">
        <f>Valuation!E4</f>
        <v/>
      </c>
    </row>
    <row r="33">
      <c r="A33" s="18">
        <f>Valuation!A5</f>
        <v/>
      </c>
      <c r="B33" s="4">
        <f>Valuation!D5</f>
        <v/>
      </c>
      <c r="C33" s="12">
        <f>Valuation!E5</f>
        <v/>
      </c>
    </row>
    <row r="34">
      <c r="A34" s="18">
        <f>Valuation!A6</f>
        <v/>
      </c>
      <c r="B34" s="4">
        <f>Valuation!D6</f>
        <v/>
      </c>
      <c r="C34" s="12">
        <f>Valuation!E6</f>
        <v/>
      </c>
    </row>
    <row r="35">
      <c r="A35" s="18">
        <f>Valuation!A7</f>
        <v/>
      </c>
      <c r="B35" s="4">
        <f>Valuation!D7</f>
        <v/>
      </c>
      <c r="C35" s="12">
        <f>Valuation!E7</f>
        <v/>
      </c>
    </row>
    <row r="37">
      <c r="A37" s="3" t="inlineStr">
        <is>
          <t>Scenario</t>
        </is>
      </c>
      <c r="B37" s="3" t="inlineStr">
        <is>
          <t>Probability</t>
        </is>
      </c>
      <c r="C37" s="3" t="inlineStr">
        <is>
          <t>Value at target date</t>
        </is>
      </c>
      <c r="D37" s="3" t="inlineStr">
        <is>
          <t>What has to happen</t>
        </is>
      </c>
    </row>
    <row r="38">
      <c r="A38" s="18">
        <f>Distribution!A4</f>
        <v/>
      </c>
      <c r="B38" s="12">
        <f>Distribution!B4</f>
        <v/>
      </c>
      <c r="C38" s="4">
        <f>Distribution!C4</f>
        <v/>
      </c>
      <c r="D38" s="19">
        <f>Distribution!D4</f>
        <v/>
      </c>
    </row>
    <row r="39">
      <c r="A39" s="18">
        <f>Distribution!A5</f>
        <v/>
      </c>
      <c r="B39" s="12">
        <f>Distribution!B5</f>
        <v/>
      </c>
      <c r="C39" s="4">
        <f>Distribution!C5</f>
        <v/>
      </c>
      <c r="D39" s="19">
        <f>Distribution!D5</f>
        <v/>
      </c>
    </row>
    <row r="40">
      <c r="A40" s="18">
        <f>Distribution!A6</f>
        <v/>
      </c>
      <c r="B40" s="12">
        <f>Distribution!B6</f>
        <v/>
      </c>
      <c r="C40" s="4">
        <f>Distribution!C6</f>
        <v/>
      </c>
      <c r="D40" s="19">
        <f>Distribution!D6</f>
        <v/>
      </c>
    </row>
    <row r="42">
      <c r="A42" s="3" t="inlineStr">
        <is>
          <t>Price at target date</t>
        </is>
      </c>
      <c r="B42" s="3" t="inlineStr">
        <is>
          <t>Probability above</t>
        </is>
      </c>
    </row>
    <row r="43">
      <c r="A43" s="9">
        <f>ROUND(Valuation!$B$68*0.7,0)</f>
        <v/>
      </c>
      <c r="B43" s="20">
        <f>SUMPRODUCT(Distribution!$B$4:$B$6,1-NORMSDIST((LN(A43)-LN(Distribution!$C$4:$C$6))/Distribution!$B$9))</f>
        <v/>
      </c>
    </row>
    <row r="44">
      <c r="A44" s="9">
        <f>ROUND(Valuation!$B$68*0.8,0)</f>
        <v/>
      </c>
      <c r="B44" s="20">
        <f>SUMPRODUCT(Distribution!$B$4:$B$6,1-NORMSDIST((LN(A44)-LN(Distribution!$C$4:$C$6))/Distribution!$B$9))</f>
        <v/>
      </c>
    </row>
    <row r="45">
      <c r="A45" s="9">
        <f>ROUND(Valuation!$B$68*0.9,0)</f>
        <v/>
      </c>
      <c r="B45" s="20">
        <f>SUMPRODUCT(Distribution!$B$4:$B$6,1-NORMSDIST((LN(A45)-LN(Distribution!$C$4:$C$6))/Distribution!$B$9))</f>
        <v/>
      </c>
    </row>
    <row r="46">
      <c r="A46" s="9">
        <f>ROUND(Valuation!$B$68*1.0,0)</f>
        <v/>
      </c>
      <c r="B46" s="20">
        <f>SUMPRODUCT(Distribution!$B$4:$B$6,1-NORMSDIST((LN(A46)-LN(Distribution!$C$4:$C$6))/Distribution!$B$9))</f>
        <v/>
      </c>
    </row>
    <row r="47">
      <c r="A47" s="9">
        <f>ROUND(Valuation!$B$68*1.1,0)</f>
        <v/>
      </c>
      <c r="B47" s="20">
        <f>SUMPRODUCT(Distribution!$B$4:$B$6,1-NORMSDIST((LN(A47)-LN(Distribution!$C$4:$C$6))/Distribution!$B$9))</f>
        <v/>
      </c>
    </row>
    <row r="48">
      <c r="A48" s="9">
        <f>ROUND(Valuation!$B$68*1.2,0)</f>
        <v/>
      </c>
      <c r="B48" s="20">
        <f>SUMPRODUCT(Distribution!$B$4:$B$6,1-NORMSDIST((LN(A48)-LN(Distribution!$C$4:$C$6))/Distribution!$B$9))</f>
        <v/>
      </c>
    </row>
    <row r="49">
      <c r="A49" s="9">
        <f>ROUND(Valuation!$B$68*1.3,0)</f>
        <v/>
      </c>
      <c r="B49" s="20">
        <f>SUMPRODUCT(Distribution!$B$4:$B$6,1-NORMSDIST((LN(A49)-LN(Distribution!$C$4:$C$6))/Distribution!$B$9))</f>
        <v/>
      </c>
    </row>
    <row r="50">
      <c r="A50" s="9">
        <f>ROUND(Valuation!$B$68*1.5,0)</f>
        <v/>
      </c>
      <c r="B50" s="20">
        <f>SUMPRODUCT(Distribution!$B$4:$B$6,1-NORMSDIST((LN(A50)-LN(Distribution!$C$4:$C$6))/Distribution!$B$9))</f>
        <v/>
      </c>
    </row>
    <row r="52">
      <c r="A52" s="3" t="inlineStr">
        <is>
          <t>Model checks</t>
        </is>
      </c>
      <c r="B52" s="3" t="inlineStr">
        <is>
          <t>Status</t>
        </is>
      </c>
    </row>
    <row r="53">
      <c r="A53" t="inlineStr">
        <is>
          <t>Scenario probabilities sum to 100%</t>
        </is>
      </c>
      <c r="B53">
        <f>IF(ABS(Distribution!B8-1)&lt;0.005,"ok","FLAG: "&amp;TEXT(Distribution!B8,"0.0%"))</f>
        <v/>
      </c>
    </row>
    <row r="54">
      <c r="A54" t="inlineStr">
        <is>
          <t>WACC exceeds terminal growth by 1 point or more</t>
        </is>
      </c>
      <c r="B54">
        <f>IF('Calc - research target (12m)'!B55="ok","ok","FLAG")</f>
        <v/>
      </c>
    </row>
    <row r="55">
      <c r="A55" t="inlineStr">
        <is>
          <t>Projection runs a full year past the target date</t>
        </is>
      </c>
      <c r="B55">
        <f>IF('Calc - research target (12m)'!B56="ok","ok","FLAG")</f>
        <v/>
      </c>
    </row>
    <row r="56">
      <c r="A56" t="inlineStr">
        <is>
          <t>Method weights add up to more than zero</t>
        </is>
      </c>
      <c r="B56">
        <f>IF(SUM(Valuation!E4:E7)&gt;0,"ok","FLAG")</f>
        <v/>
      </c>
    </row>
    <row r="57">
      <c r="A57" t="inlineStr">
        <is>
          <t>Terminal value under 85% of the DCF</t>
        </is>
      </c>
      <c r="B57">
        <f>IF('Calc - research target (12m)'!B46&lt;0.85,"ok","note: "&amp;TEXT('Calc - research target (12m)'!B46,"0%")&amp;" of the DCF is terminal value")</f>
        <v/>
      </c>
    </row>
    <row r="58">
      <c r="A58" t="inlineStr">
        <is>
          <t>Segment base revenues tie to the last reported net sales (within 2%)</t>
        </is>
      </c>
      <c r="B58">
        <f>IF(ABS(Valuation!$B$96/Valuation!$B$51-1)&lt;=0.02,"ok","FLAG")</f>
        <v/>
      </c>
    </row>
    <row r="59">
      <c r="A59" t="inlineStr">
        <is>
          <t>Matches the engine run at publication (target, research target (12m))</t>
        </is>
      </c>
      <c r="B59">
        <f>IF(AND(ABS(Distribution!$B$13-22.9885)&lt;0.01,ABS(Valuation!$D$8-23.1576)&lt;0.01),"ok","inputs edited since publication")</f>
        <v/>
      </c>
    </row>
    <row r="60">
      <c r="A60" s="21" t="inlineStr">
        <is>
          <t>All checks</t>
        </is>
      </c>
      <c r="B60" s="21">
        <f>IF(COUNTIF(B53:B59,"ok")=7,"all ok",7-COUNTIF(B53:B59,"ok")&amp;" to look at")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T: annual model, base case</t>
        </is>
      </c>
    </row>
    <row r="2">
      <c r="A2" s="2" t="inlineStr">
        <is>
          <t>(M of US dollars except per share; fiscal years named by the calendar year they end in)</t>
        </is>
      </c>
    </row>
    <row r="3">
      <c r="A3" s="2" t="inlineStr">
        <is>
          <t>Blue = input · black = formula · green = link to another tab · actuals from SEC filings (fact ids in the last column, links on Sources)</t>
        </is>
      </c>
    </row>
    <row r="5">
      <c r="A5" s="3" t="inlineStr">
        <is>
          <t>Fiscal year</t>
        </is>
      </c>
      <c r="B5" s="3" t="inlineStr">
        <is>
          <t>FY2023A</t>
        </is>
      </c>
      <c r="C5" s="3" t="inlineStr">
        <is>
          <t>FY2024A</t>
        </is>
      </c>
      <c r="D5" s="3" t="inlineStr">
        <is>
          <t>FY2025A</t>
        </is>
      </c>
      <c r="E5" s="3" t="inlineStr">
        <is>
          <t>FY2026E</t>
        </is>
      </c>
      <c r="F5" s="3" t="inlineStr">
        <is>
          <t>FY2027E</t>
        </is>
      </c>
      <c r="G5" s="3" t="inlineStr">
        <is>
          <t>FY2028E</t>
        </is>
      </c>
      <c r="H5" s="3" t="inlineStr">
        <is>
          <t>Source / note</t>
        </is>
      </c>
    </row>
    <row r="6">
      <c r="A6" t="inlineStr">
        <is>
          <t>Period end</t>
        </is>
      </c>
      <c r="B6" s="22" t="n">
        <v>45291</v>
      </c>
      <c r="C6" s="22" t="n">
        <v>45657</v>
      </c>
      <c r="D6" s="22" t="n">
        <v>46022</v>
      </c>
      <c r="E6" s="22">
        <f>IF(DAY(Valuation!$B$50+1)=1,EOMONTH(Valuation!$B$50,12*E7),EDATE(Valuation!$B$50,12*E7))</f>
        <v/>
      </c>
      <c r="F6" s="22">
        <f>IF(DAY(Valuation!$B$50+1)=1,EOMONTH(Valuation!$B$50,12*F7),EDATE(Valuation!$B$50,12*F7))</f>
        <v/>
      </c>
      <c r="G6" s="22">
        <f>IF(DAY(Valuation!$B$50+1)=1,EOMONTH(Valuation!$B$50,12*G7),EDATE(Valuation!$B$50,12*G7))</f>
        <v/>
      </c>
    </row>
    <row r="7">
      <c r="A7" t="inlineStr">
        <is>
          <t>Projection year</t>
        </is>
      </c>
      <c r="B7" t="n">
        <v>-2</v>
      </c>
      <c r="C7" t="n">
        <v>-1</v>
      </c>
      <c r="D7" t="n">
        <v>0</v>
      </c>
      <c r="E7" t="n">
        <v>1</v>
      </c>
      <c r="F7" t="n">
        <v>2</v>
      </c>
      <c r="G7" t="n">
        <v>3</v>
      </c>
    </row>
    <row r="10">
      <c r="A10" s="23" t="inlineStr">
        <is>
          <t>Segment build (blue = input: revenue growth and EBIT margin by segment and year)</t>
        </is>
      </c>
      <c r="B10" s="24" t="n"/>
      <c r="C10" s="24" t="n"/>
      <c r="D10" s="24" t="n"/>
      <c r="E10" s="24" t="n"/>
      <c r="F10" s="24" t="n"/>
      <c r="G10" s="24" t="n"/>
      <c r="H10" s="24" t="n"/>
    </row>
    <row r="11">
      <c r="A11" t="inlineStr">
        <is>
          <t>AC Wireless and Home</t>
        </is>
      </c>
      <c r="D11" s="10">
        <f>Valuation!$B$91</f>
        <v/>
      </c>
      <c r="E11" s="25">
        <f>Valuation!$B$91*(1+E12)</f>
        <v/>
      </c>
      <c r="F11" s="25">
        <f>E11*(1+F12)</f>
        <v/>
      </c>
      <c r="G11" s="25">
        <f>F11*(1+G12)</f>
        <v/>
      </c>
    </row>
    <row r="12">
      <c r="A12" s="11" t="inlineStr">
        <is>
          <t xml:space="preserve">  Revenue growth</t>
        </is>
      </c>
      <c r="E12" s="26" t="n">
        <v>0.05340247022830136</v>
      </c>
      <c r="F12" s="26" t="n">
        <v>0.04136692079407722</v>
      </c>
      <c r="G12" s="26" t="n">
        <v>0.03273529850024093</v>
      </c>
    </row>
    <row r="13">
      <c r="A13" t="inlineStr">
        <is>
          <t xml:space="preserve">  Segment EBIT</t>
        </is>
      </c>
      <c r="E13" s="25">
        <f>E11*E14</f>
        <v/>
      </c>
      <c r="F13" s="25">
        <f>F11*F14</f>
        <v/>
      </c>
      <c r="G13" s="25">
        <f>G11*G14</f>
        <v/>
      </c>
    </row>
    <row r="14">
      <c r="A14" s="11" t="inlineStr">
        <is>
          <t xml:space="preserve">  EBIT margin</t>
        </is>
      </c>
      <c r="E14" s="26" t="n">
        <v>0.24723</v>
      </c>
      <c r="F14" s="26" t="n">
        <v>0.25654</v>
      </c>
      <c r="G14" s="26" t="n">
        <v>0.26693</v>
      </c>
    </row>
    <row r="15">
      <c r="A15" t="inlineStr">
        <is>
          <t>AC Business Wireline and Other</t>
        </is>
      </c>
      <c r="D15" s="10">
        <f>Valuation!$B$92</f>
        <v/>
      </c>
      <c r="E15" s="25">
        <f>Valuation!$B$92*(1+E16)</f>
        <v/>
      </c>
      <c r="F15" s="25">
        <f>E15*(1+F16)</f>
        <v/>
      </c>
      <c r="G15" s="25">
        <f>F15*(1+G16)</f>
        <v/>
      </c>
    </row>
    <row r="16">
      <c r="A16" s="11" t="inlineStr">
        <is>
          <t xml:space="preserve">  Revenue growth</t>
        </is>
      </c>
      <c r="E16" s="26" t="n">
        <v>-0.015</v>
      </c>
      <c r="F16" s="26" t="n">
        <v>-0.008</v>
      </c>
      <c r="G16" s="26" t="n">
        <v>-0.003</v>
      </c>
    </row>
    <row r="17">
      <c r="A17" t="inlineStr">
        <is>
          <t xml:space="preserve">  Segment EBIT</t>
        </is>
      </c>
      <c r="E17" s="25">
        <f>E15*E18</f>
        <v/>
      </c>
      <c r="F17" s="25">
        <f>F15*F18</f>
        <v/>
      </c>
      <c r="G17" s="25">
        <f>G15*G18</f>
        <v/>
      </c>
    </row>
    <row r="18">
      <c r="A18" s="11" t="inlineStr">
        <is>
          <t xml:space="preserve">  EBIT margin</t>
        </is>
      </c>
      <c r="E18" s="26" t="n">
        <v>0.24723</v>
      </c>
      <c r="F18" s="26" t="n">
        <v>0.25654</v>
      </c>
      <c r="G18" s="26" t="n">
        <v>0.26693</v>
      </c>
    </row>
    <row r="19">
      <c r="A19" t="inlineStr">
        <is>
          <t>Legacy</t>
        </is>
      </c>
      <c r="D19" s="10">
        <f>Valuation!$B$93</f>
        <v/>
      </c>
      <c r="E19" s="25">
        <f>Valuation!$B$93*(1+E20)</f>
        <v/>
      </c>
      <c r="F19" s="25">
        <f>E19*(1+F20)</f>
        <v/>
      </c>
      <c r="G19" s="25">
        <f>F19*(1+G20)</f>
        <v/>
      </c>
    </row>
    <row r="20">
      <c r="A20" s="11" t="inlineStr">
        <is>
          <t xml:space="preserve">  Revenue growth</t>
        </is>
      </c>
      <c r="E20" s="26" t="n">
        <v>-0.2541</v>
      </c>
      <c r="F20" s="26" t="n">
        <v>-0.27</v>
      </c>
      <c r="G20" s="26" t="n">
        <v>-0.3</v>
      </c>
    </row>
    <row r="21">
      <c r="A21" t="inlineStr">
        <is>
          <t xml:space="preserve">  Segment EBIT</t>
        </is>
      </c>
      <c r="E21" s="25">
        <f>E19*E22</f>
        <v/>
      </c>
      <c r="F21" s="25">
        <f>F19*F22</f>
        <v/>
      </c>
      <c r="G21" s="25">
        <f>G19*G22</f>
        <v/>
      </c>
    </row>
    <row r="22">
      <c r="A22" s="11" t="inlineStr">
        <is>
          <t xml:space="preserve">  EBIT margin</t>
        </is>
      </c>
      <c r="E22" s="26" t="n">
        <v>0.3214</v>
      </c>
      <c r="F22" s="26" t="n">
        <v>0.2</v>
      </c>
      <c r="G22" s="26" t="n">
        <v>-0.05</v>
      </c>
    </row>
    <row r="23">
      <c r="A23" t="inlineStr">
        <is>
          <t>Latin America</t>
        </is>
      </c>
      <c r="D23" s="10">
        <f>Valuation!$B$94</f>
        <v/>
      </c>
      <c r="E23" s="25">
        <f>Valuation!$B$94*(1+E24)</f>
        <v/>
      </c>
      <c r="F23" s="25">
        <f>E23*(1+F24)</f>
        <v/>
      </c>
      <c r="G23" s="25">
        <f>F23*(1+G24)</f>
        <v/>
      </c>
    </row>
    <row r="24">
      <c r="A24" s="11" t="inlineStr">
        <is>
          <t xml:space="preserve">  Revenue growth</t>
        </is>
      </c>
      <c r="E24" s="26" t="n">
        <v>0.13</v>
      </c>
      <c r="F24" s="26" t="n">
        <v>-0.83</v>
      </c>
      <c r="G24" s="26" t="n">
        <v>-1</v>
      </c>
    </row>
    <row r="25">
      <c r="A25" t="inlineStr">
        <is>
          <t xml:space="preserve">  Segment EBIT</t>
        </is>
      </c>
      <c r="E25" s="25">
        <f>E23*E26</f>
        <v/>
      </c>
      <c r="F25" s="25">
        <f>F23*F26</f>
        <v/>
      </c>
      <c r="G25" s="25">
        <f>G23*G26</f>
        <v/>
      </c>
    </row>
    <row r="26">
      <c r="A26" s="11" t="inlineStr">
        <is>
          <t xml:space="preserve">  EBIT margin</t>
        </is>
      </c>
      <c r="E26" s="26" t="n">
        <v>0.18</v>
      </c>
      <c r="F26" s="26" t="n">
        <v>0.18</v>
      </c>
      <c r="G26" s="26" t="n">
        <v>0</v>
      </c>
    </row>
    <row r="27">
      <c r="A27" t="inlineStr">
        <is>
          <t>Corporate and Other</t>
        </is>
      </c>
      <c r="D27" s="10">
        <f>Valuation!$B$95</f>
        <v/>
      </c>
      <c r="E27" s="25">
        <f>Valuation!$B$95*(1+E28)</f>
        <v/>
      </c>
      <c r="F27" s="25">
        <f>E27*(1+F28)</f>
        <v/>
      </c>
      <c r="G27" s="25">
        <f>F27*(1+G28)</f>
        <v/>
      </c>
    </row>
    <row r="28">
      <c r="A28" s="11" t="inlineStr">
        <is>
          <t xml:space="preserve">  Revenue growth</t>
        </is>
      </c>
      <c r="E28" s="26" t="n">
        <v>-0.05</v>
      </c>
      <c r="F28" s="20">
        <f>E28</f>
        <v/>
      </c>
      <c r="G28" s="20">
        <f>F28</f>
        <v/>
      </c>
    </row>
    <row r="29">
      <c r="A29" t="inlineStr">
        <is>
          <t xml:space="preserve">  Segment EBIT</t>
        </is>
      </c>
      <c r="E29" s="25">
        <f>E27*E30</f>
        <v/>
      </c>
      <c r="F29" s="25">
        <f>F27*F30</f>
        <v/>
      </c>
      <c r="G29" s="25">
        <f>G27*G30</f>
        <v/>
      </c>
    </row>
    <row r="30">
      <c r="A30" s="11" t="inlineStr">
        <is>
          <t xml:space="preserve">  EBIT margin</t>
        </is>
      </c>
      <c r="E30" s="26" t="n">
        <v>0</v>
      </c>
      <c r="F30" s="20">
        <f>E30</f>
        <v/>
      </c>
      <c r="G30" s="20">
        <f>F30</f>
        <v/>
      </c>
    </row>
    <row r="31">
      <c r="A31" t="inlineStr">
        <is>
          <t>Total segment revenue (= net sales)</t>
        </is>
      </c>
      <c r="D31" s="27">
        <f>D11+D15+D19+D23+D27</f>
        <v/>
      </c>
      <c r="E31" s="27">
        <f>E11+E15+E19+E23+E27</f>
        <v/>
      </c>
      <c r="F31" s="27">
        <f>F11+F15+F19+F23+F27</f>
        <v/>
      </c>
      <c r="G31" s="27">
        <f>G11+G15+G19+G23+G27</f>
        <v/>
      </c>
      <c r="H31" s="2" t="inlineStr">
        <is>
          <t>base revenues on Valuation (segment build); net sales = this total</t>
        </is>
      </c>
    </row>
    <row r="32">
      <c r="A32" t="inlineStr">
        <is>
          <t>Total segment EBIT</t>
        </is>
      </c>
      <c r="E32" s="27">
        <f>E13+E17+E21+E25+E29</f>
        <v/>
      </c>
      <c r="F32" s="27">
        <f>F13+F17+F21+F25+F29</f>
        <v/>
      </c>
      <c r="G32" s="27">
        <f>G13+G17+G21+G25+G29</f>
        <v/>
      </c>
    </row>
    <row r="33">
      <c r="A33" t="inlineStr">
        <is>
          <t>Corporate / unallocated EBIT (blue = input)</t>
        </is>
      </c>
      <c r="E33" s="28" t="n">
        <v>-3495</v>
      </c>
      <c r="F33" s="28" t="n">
        <v>-2445</v>
      </c>
      <c r="G33" s="28" t="n">
        <v>-2445</v>
      </c>
      <c r="H33" s="2" t="inlineStr">
        <is>
          <t>years[].corporate_ebit; EBIT = total segment EBIT + corporate</t>
        </is>
      </c>
    </row>
    <row r="35">
      <c r="A35" s="23" t="inlineStr">
        <is>
          <t>Sales</t>
        </is>
      </c>
      <c r="B35" s="24" t="n"/>
      <c r="C35" s="24" t="n"/>
      <c r="D35" s="24" t="n"/>
      <c r="E35" s="24" t="n"/>
      <c r="F35" s="24" t="n"/>
      <c r="G35" s="24" t="n"/>
      <c r="H35" s="24" t="n"/>
    </row>
    <row r="36">
      <c r="A36" s="21" t="inlineStr">
        <is>
          <t>Net sales</t>
        </is>
      </c>
      <c r="B36" s="25" t="n">
        <v>122428</v>
      </c>
      <c r="C36" s="25" t="n">
        <v>122336</v>
      </c>
      <c r="D36" s="25" t="n">
        <v>125648</v>
      </c>
      <c r="E36" s="27">
        <f>E31</f>
        <v/>
      </c>
      <c r="F36" s="27">
        <f>F31</f>
        <v/>
      </c>
      <c r="G36" s="27">
        <f>G31</f>
        <v/>
      </c>
      <c r="H36" s="2" t="inlineStr">
        <is>
          <t>SEC XBRL F1, F2, F3</t>
        </is>
      </c>
    </row>
    <row r="37">
      <c r="A37" s="11" t="inlineStr">
        <is>
          <t xml:space="preserve">  % YoY</t>
        </is>
      </c>
      <c r="C37" s="29">
        <f>IF(OR(C36="",B36="",B36=0),"",C36/B36-1)</f>
        <v/>
      </c>
      <c r="D37" s="29">
        <f>IF(OR(D36="",C36="",C36=0),"",D36/C36-1)</f>
        <v/>
      </c>
      <c r="E37" s="29">
        <f>E36/Valuation!$B$51-1</f>
        <v/>
      </c>
      <c r="F37" s="29">
        <f>F36/E36-1</f>
        <v/>
      </c>
      <c r="G37" s="29">
        <f>G36/F36-1</f>
        <v/>
      </c>
    </row>
    <row r="39">
      <c r="A39" s="23" t="inlineStr">
        <is>
          <t>Operating profit</t>
        </is>
      </c>
      <c r="B39" s="24" t="n"/>
      <c r="C39" s="24" t="n"/>
      <c r="D39" s="24" t="n"/>
      <c r="E39" s="24" t="n"/>
      <c r="F39" s="24" t="n"/>
      <c r="G39" s="24" t="n"/>
      <c r="H39" s="24" t="n"/>
    </row>
    <row r="40">
      <c r="A40" t="inlineStr">
        <is>
          <t>EBIT (operating income)</t>
        </is>
      </c>
      <c r="E40" s="25">
        <f>E32+E33</f>
        <v/>
      </c>
      <c r="F40" s="25">
        <f>F32+F33</f>
        <v/>
      </c>
      <c r="G40" s="25">
        <f>G32+G33</f>
        <v/>
      </c>
    </row>
    <row r="41">
      <c r="A41" s="11" t="inlineStr">
        <is>
          <t xml:space="preserve">  EBIT margin</t>
        </is>
      </c>
      <c r="E41" s="29">
        <f>E40/E36</f>
        <v/>
      </c>
      <c r="F41" s="29">
        <f>F40/F36</f>
        <v/>
      </c>
      <c r="G41" s="29">
        <f>G40/G36</f>
        <v/>
      </c>
    </row>
    <row r="42">
      <c r="A42" t="inlineStr">
        <is>
          <t>D&amp;A</t>
        </is>
      </c>
      <c r="B42" s="25" t="n">
        <v>18777</v>
      </c>
      <c r="C42" s="25" t="n">
        <v>20580</v>
      </c>
      <c r="D42" s="25" t="n">
        <v>20886</v>
      </c>
      <c r="E42" s="25">
        <f>E36*E76</f>
        <v/>
      </c>
      <c r="F42" s="25">
        <f>F36*F76</f>
        <v/>
      </c>
      <c r="G42" s="25">
        <f>G36*G76</f>
        <v/>
      </c>
      <c r="H42" s="2" t="inlineStr">
        <is>
          <t>SEC XBRL F34, F35, F36</t>
        </is>
      </c>
    </row>
    <row r="43">
      <c r="A43" t="inlineStr">
        <is>
          <t>EBITDA</t>
        </is>
      </c>
      <c r="E43" s="25">
        <f>E40+E42</f>
        <v/>
      </c>
      <c r="F43" s="25">
        <f>F40+F42</f>
        <v/>
      </c>
      <c r="G43" s="25">
        <f>G40+G42</f>
        <v/>
      </c>
    </row>
    <row r="44">
      <c r="A44" s="11" t="inlineStr">
        <is>
          <t xml:space="preserve">  EBITDA margin</t>
        </is>
      </c>
      <c r="E44" s="29">
        <f>E43/E36</f>
        <v/>
      </c>
      <c r="F44" s="29">
        <f>F43/F36</f>
        <v/>
      </c>
      <c r="G44" s="29">
        <f>G43/G36</f>
        <v/>
      </c>
    </row>
    <row r="45">
      <c r="A45" t="inlineStr">
        <is>
          <t>Net interest income / (expense)</t>
        </is>
      </c>
      <c r="E45" s="25">
        <f>-Valuation!$B$59*Valuation!$B$57</f>
        <v/>
      </c>
      <c r="F45" s="25">
        <f>-Valuation!$B$59*E70</f>
        <v/>
      </c>
      <c r="G45" s="25">
        <f>-Valuation!$B$59*F70</f>
        <v/>
      </c>
      <c r="H45" s="2" t="inlineStr">
        <is>
          <t>rate x prior year-end net debt (memo roll)</t>
        </is>
      </c>
    </row>
    <row r="46">
      <c r="A46" s="21" t="inlineStr">
        <is>
          <t>Pretax income</t>
        </is>
      </c>
      <c r="B46" s="25" t="n">
        <v>19848</v>
      </c>
      <c r="C46" s="25" t="n">
        <v>16698</v>
      </c>
      <c r="D46" s="25" t="n">
        <v>27007</v>
      </c>
      <c r="E46" s="27">
        <f>E40+E45</f>
        <v/>
      </c>
      <c r="F46" s="27">
        <f>F40+F45</f>
        <v/>
      </c>
      <c r="G46" s="27">
        <f>G40+G45</f>
        <v/>
      </c>
      <c r="H46" s="2" t="inlineStr">
        <is>
          <t>SEC XBRL F84, F85, F86</t>
        </is>
      </c>
    </row>
    <row r="47">
      <c r="A47" s="11" t="inlineStr">
        <is>
          <t xml:space="preserve">  Pretax margin</t>
        </is>
      </c>
      <c r="B47" s="29">
        <f>B46/B36</f>
        <v/>
      </c>
      <c r="C47" s="29">
        <f>C46/C36</f>
        <v/>
      </c>
      <c r="D47" s="29">
        <f>D46/D36</f>
        <v/>
      </c>
      <c r="E47" s="29">
        <f>E46/E36</f>
        <v/>
      </c>
      <c r="F47" s="29">
        <f>F46/F36</f>
        <v/>
      </c>
      <c r="G47" s="29">
        <f>G46/G36</f>
        <v/>
      </c>
    </row>
    <row r="48">
      <c r="A48" t="inlineStr">
        <is>
          <t>Income tax</t>
        </is>
      </c>
      <c r="B48" s="25" t="n">
        <v>4225</v>
      </c>
      <c r="C48" s="25" t="n">
        <v>4445</v>
      </c>
      <c r="D48" s="25" t="n">
        <v>3621</v>
      </c>
      <c r="E48" s="25">
        <f>E46*E75</f>
        <v/>
      </c>
      <c r="F48" s="25">
        <f>F46*F75</f>
        <v/>
      </c>
      <c r="G48" s="25">
        <f>G46*G75</f>
        <v/>
      </c>
      <c r="H48" s="2" t="inlineStr">
        <is>
          <t>SEC XBRL F77, F78, F79</t>
        </is>
      </c>
    </row>
    <row r="49">
      <c r="A49" s="11" t="inlineStr">
        <is>
          <t xml:space="preserve">  Effective tax rate</t>
        </is>
      </c>
      <c r="B49" s="29">
        <f>B48/B46</f>
        <v/>
      </c>
      <c r="C49" s="29">
        <f>C48/C46</f>
        <v/>
      </c>
      <c r="D49" s="29">
        <f>D48/D46</f>
        <v/>
      </c>
      <c r="E49" s="29">
        <f>E48/E46</f>
        <v/>
      </c>
      <c r="F49" s="29">
        <f>F48/F46</f>
        <v/>
      </c>
      <c r="G49" s="29">
        <f>G48/G46</f>
        <v/>
      </c>
    </row>
    <row r="50">
      <c r="A50" s="21" t="inlineStr">
        <is>
          <t>Net income</t>
        </is>
      </c>
      <c r="B50" s="25" t="n">
        <v>14400</v>
      </c>
      <c r="C50" s="25" t="n">
        <v>10948</v>
      </c>
      <c r="D50" s="25" t="n">
        <v>21953</v>
      </c>
      <c r="E50" s="27">
        <f>E46-E48</f>
        <v/>
      </c>
      <c r="F50" s="27">
        <f>F46-F48</f>
        <v/>
      </c>
      <c r="G50" s="27">
        <f>G46-G48</f>
        <v/>
      </c>
      <c r="H50" s="2" t="inlineStr">
        <is>
          <t>SEC XBRL F15, F16, F17</t>
        </is>
      </c>
    </row>
    <row r="51">
      <c r="A51" s="11" t="inlineStr">
        <is>
          <t xml:space="preserve">  % YoY</t>
        </is>
      </c>
      <c r="C51" s="29">
        <f>IF(OR(C50="",B50="",B50=0),"",C50/B50-1)</f>
        <v/>
      </c>
      <c r="D51" s="29">
        <f>IF(OR(D50="",C50="",C50=0),"",D50/C50-1)</f>
        <v/>
      </c>
      <c r="E51" s="29">
        <f>IF(OR(D50="",D50=0),"",E50/D50-1)</f>
        <v/>
      </c>
      <c r="F51" s="29">
        <f>IF(OR(E50="",E50=0),"",F50/E50-1)</f>
        <v/>
      </c>
      <c r="G51" s="29">
        <f>IF(OR(F50="",F50=0),"",G50/F50-1)</f>
        <v/>
      </c>
    </row>
    <row r="52">
      <c r="A52" t="inlineStr">
        <is>
          <t>Diluted shares (M, average)</t>
        </is>
      </c>
      <c r="B52" s="25" t="n">
        <v>7258</v>
      </c>
      <c r="C52" s="25" t="n">
        <v>7204</v>
      </c>
      <c r="D52" s="25" t="n">
        <v>7179</v>
      </c>
      <c r="E52" s="30">
        <f>Valuation!$B$61*(1+Valuation!$B$63)^(E7-0.5-((Valuation!$B$62-Valuation!$B$50)/365.25))</f>
        <v/>
      </c>
      <c r="F52" s="30">
        <f>Valuation!$B$61*(1+Valuation!$B$63)^(F7-0.5-((Valuation!$B$62-Valuation!$B$50)/365.25))</f>
        <v/>
      </c>
      <c r="G52" s="30">
        <f>Valuation!$B$61*(1+Valuation!$B$63)^(G7-0.5-((Valuation!$B$62-Valuation!$B$50)/365.25))</f>
        <v/>
      </c>
      <c r="H52" s="2" t="inlineStr">
        <is>
          <t>diluted count rolled at the annual change to mid-year</t>
        </is>
      </c>
    </row>
    <row r="53">
      <c r="A53" s="11" t="inlineStr">
        <is>
          <t xml:space="preserve">  % YoY</t>
        </is>
      </c>
      <c r="C53" s="29">
        <f>IF(OR(C52="",B52="",B52=0),"",C52/B52-1)</f>
        <v/>
      </c>
      <c r="D53" s="29">
        <f>IF(OR(D52="",C52="",C52=0),"",D52/C52-1)</f>
        <v/>
      </c>
      <c r="E53" s="29">
        <f>IF(OR(D52="",D52=0),"",E52/D52-1)</f>
        <v/>
      </c>
      <c r="F53" s="29">
        <f>IF(OR(E52="",E52=0),"",F52/E52-1)</f>
        <v/>
      </c>
      <c r="G53" s="29">
        <f>IF(OR(F52="",F52=0),"",G52/F52-1)</f>
        <v/>
      </c>
    </row>
    <row r="54">
      <c r="A54" s="21" t="inlineStr">
        <is>
          <t>Diluted EPS</t>
        </is>
      </c>
      <c r="B54" s="31" t="n">
        <v>1.97</v>
      </c>
      <c r="C54" s="31" t="n">
        <v>1.49</v>
      </c>
      <c r="D54" s="31" t="n">
        <v>3.04</v>
      </c>
      <c r="E54" s="32">
        <f>E50/E52</f>
        <v/>
      </c>
      <c r="F54" s="32">
        <f>F50/F52</f>
        <v/>
      </c>
      <c r="G54" s="32">
        <f>G50/G52</f>
        <v/>
      </c>
      <c r="H54" s="2" t="inlineStr">
        <is>
          <t>SEC XBRL F22, F23, F24</t>
        </is>
      </c>
    </row>
    <row r="55">
      <c r="A55" s="11" t="inlineStr">
        <is>
          <t xml:space="preserve">  % YoY</t>
        </is>
      </c>
      <c r="C55" s="29">
        <f>IF(OR(C54="",B54="",B54=0),"",C54/B54-1)</f>
        <v/>
      </c>
      <c r="D55" s="29">
        <f>IF(OR(D54="",C54="",C54=0),"",D54/C54-1)</f>
        <v/>
      </c>
      <c r="E55" s="29">
        <f>IF(OR(D54="",D54=0),"",E54/D54-1)</f>
        <v/>
      </c>
      <c r="F55" s="29">
        <f>IF(OR(E54="",E54=0),"",F54/E54-1)</f>
        <v/>
      </c>
      <c r="G55" s="29">
        <f>IF(OR(F54="",F54=0),"",G54/F54-1)</f>
        <v/>
      </c>
    </row>
    <row r="57">
      <c r="A57" s="23" t="inlineStr">
        <is>
          <t>Cash flow</t>
        </is>
      </c>
      <c r="B57" s="24" t="n"/>
      <c r="C57" s="24" t="n"/>
      <c r="D57" s="24" t="n"/>
      <c r="E57" s="24" t="n"/>
      <c r="F57" s="24" t="n"/>
      <c r="G57" s="24" t="n"/>
      <c r="H57" s="24" t="n"/>
    </row>
    <row r="58">
      <c r="A58" t="inlineStr">
        <is>
          <t>NOPAT (EBIT x (1 - tax))</t>
        </is>
      </c>
      <c r="E58" s="25">
        <f>E40*(1-E75)</f>
        <v/>
      </c>
      <c r="F58" s="25">
        <f>F40*(1-F75)</f>
        <v/>
      </c>
      <c r="G58" s="25">
        <f>G40*(1-G75)</f>
        <v/>
      </c>
    </row>
    <row r="59">
      <c r="A59" t="inlineStr">
        <is>
          <t>+ D&amp;A</t>
        </is>
      </c>
      <c r="B59" s="25">
        <f>B42</f>
        <v/>
      </c>
      <c r="C59" s="25">
        <f>C42</f>
        <v/>
      </c>
      <c r="D59" s="25">
        <f>D42</f>
        <v/>
      </c>
      <c r="E59" s="25">
        <f>E42</f>
        <v/>
      </c>
      <c r="F59" s="25">
        <f>F42</f>
        <v/>
      </c>
      <c r="G59" s="25">
        <f>G42</f>
        <v/>
      </c>
    </row>
    <row r="60">
      <c r="A60" t="inlineStr">
        <is>
          <t>- Capex</t>
        </is>
      </c>
      <c r="B60" s="25" t="n">
        <v>17853</v>
      </c>
      <c r="C60" s="25" t="n">
        <v>20263</v>
      </c>
      <c r="D60" s="25" t="n">
        <v>20842</v>
      </c>
      <c r="E60" s="25">
        <f>E36*E77</f>
        <v/>
      </c>
      <c r="F60" s="25">
        <f>F36*F77</f>
        <v/>
      </c>
      <c r="G60" s="25">
        <f>G36*G77</f>
        <v/>
      </c>
      <c r="H60" s="2" t="inlineStr">
        <is>
          <t>SEC XBRL F49, F50, F51</t>
        </is>
      </c>
    </row>
    <row r="61">
      <c r="A61" s="11" t="inlineStr">
        <is>
          <t xml:space="preserve">  Capex % of sales</t>
        </is>
      </c>
      <c r="B61" s="29">
        <f>B60/B36</f>
        <v/>
      </c>
      <c r="C61" s="29">
        <f>C60/C36</f>
        <v/>
      </c>
      <c r="D61" s="29">
        <f>D60/D36</f>
        <v/>
      </c>
      <c r="E61" s="29">
        <f>E60/E36</f>
        <v/>
      </c>
      <c r="F61" s="29">
        <f>F60/F36</f>
        <v/>
      </c>
      <c r="G61" s="29">
        <f>G60/G36</f>
        <v/>
      </c>
    </row>
    <row r="62">
      <c r="A62" t="inlineStr">
        <is>
          <t>- Working capital increase</t>
        </is>
      </c>
      <c r="E62" s="25">
        <f>E78*(E36-Valuation!$B$51)</f>
        <v/>
      </c>
      <c r="F62" s="25">
        <f>F78*(F36-E36)</f>
        <v/>
      </c>
      <c r="G62" s="25">
        <f>G78*(G36-F36)</f>
        <v/>
      </c>
    </row>
    <row r="63">
      <c r="A63" t="inlineStr">
        <is>
          <t>- Stock comp (adjusted EBIT only)</t>
        </is>
      </c>
      <c r="E63" s="25">
        <f>IF(AND(Valuation!$B$48="adjusted",Valuation!$B$49="cost"),E67*(1-E75),0)</f>
        <v/>
      </c>
      <c r="F63" s="25">
        <f>IF(AND(Valuation!$B$48="adjusted",Valuation!$B$49="cost"),F67*(1-F75),0)</f>
        <v/>
      </c>
      <c r="G63" s="25">
        <f>IF(AND(Valuation!$B$48="adjusted",Valuation!$B$49="cost"),G67*(1-G75),0)</f>
        <v/>
      </c>
    </row>
    <row r="64">
      <c r="A64" s="21" t="inlineStr">
        <is>
          <t>Free cash flow to firm</t>
        </is>
      </c>
      <c r="E64" s="27">
        <f>E58+E59-E60-E62-E63</f>
        <v/>
      </c>
      <c r="F64" s="27">
        <f>F58+F59-F60-F62-F63</f>
        <v/>
      </c>
      <c r="G64" s="27">
        <f>G58+G59-G60-G62-G63</f>
        <v/>
      </c>
      <c r="H64" s="2" t="inlineStr">
        <is>
          <t>what the DCF discounts (Calc tabs)</t>
        </is>
      </c>
    </row>
    <row r="65">
      <c r="A65" t="inlineStr">
        <is>
          <t>Operating cash flow (reported)</t>
        </is>
      </c>
      <c r="B65" s="25" t="n">
        <v>38314</v>
      </c>
      <c r="C65" s="25" t="n">
        <v>38771</v>
      </c>
      <c r="D65" s="25" t="n">
        <v>40284</v>
      </c>
      <c r="H65" s="2" t="inlineStr">
        <is>
          <t>SEC XBRL F45, F46, F47</t>
        </is>
      </c>
    </row>
    <row r="66">
      <c r="A66" t="inlineStr">
        <is>
          <t>FCF (operating cash flow - capex)</t>
        </is>
      </c>
      <c r="B66" s="25">
        <f>B65-B60</f>
        <v/>
      </c>
      <c r="C66" s="25">
        <f>C65-C60</f>
        <v/>
      </c>
      <c r="D66" s="25">
        <f>D65-D60</f>
        <v/>
      </c>
    </row>
    <row r="67">
      <c r="A67" t="inlineStr">
        <is>
          <t>Stock comp (memo)</t>
        </is>
      </c>
      <c r="B67" s="25" t="n">
        <v>479</v>
      </c>
      <c r="C67" s="25" t="n">
        <v>505</v>
      </c>
      <c r="D67" s="25" t="n">
        <v>536</v>
      </c>
      <c r="E67" s="25">
        <f>E36*E79</f>
        <v/>
      </c>
      <c r="F67" s="25">
        <f>F36*F79</f>
        <v/>
      </c>
      <c r="G67" s="25">
        <f>G36*G79</f>
        <v/>
      </c>
      <c r="H67" s="2" t="inlineStr">
        <is>
          <t>SEC XBRL F41, F42, F43</t>
        </is>
      </c>
    </row>
    <row r="68">
      <c r="A68" t="inlineStr">
        <is>
          <t>Buybacks + dividends + other uses</t>
        </is>
      </c>
      <c r="B68" s="25" t="n">
        <v>8330</v>
      </c>
      <c r="C68" s="25" t="n">
        <v>8423</v>
      </c>
      <c r="D68" s="25" t="n">
        <v>12680</v>
      </c>
      <c r="E68" s="25">
        <f>E36*E81+E80+E82</f>
        <v/>
      </c>
      <c r="F68" s="25">
        <f>F36*F81+F80+F82</f>
        <v/>
      </c>
      <c r="G68" s="25">
        <f>G36*G81+G80+G82</f>
        <v/>
      </c>
      <c r="H68" s="2" t="inlineStr">
        <is>
          <t>SEC XBRL F56, F63, F57, F64, F58, F65</t>
        </is>
      </c>
    </row>
    <row r="69">
      <c r="A69" s="11" t="inlineStr">
        <is>
          <t xml:space="preserve">  % of sales</t>
        </is>
      </c>
      <c r="B69" s="29">
        <f>B68/B36</f>
        <v/>
      </c>
      <c r="C69" s="29">
        <f>C68/C36</f>
        <v/>
      </c>
      <c r="D69" s="29">
        <f>D68/D36</f>
        <v/>
      </c>
      <c r="E69" s="29">
        <f>E68/E36</f>
        <v/>
      </c>
      <c r="F69" s="29">
        <f>F68/F36</f>
        <v/>
      </c>
      <c r="G69" s="29">
        <f>G68/G36</f>
        <v/>
      </c>
    </row>
    <row r="70">
      <c r="A70" t="inlineStr">
        <is>
          <t>Net debt / (net cash), year end (memo)</t>
        </is>
      </c>
      <c r="E70" s="25">
        <f>Valuation!$B$57-E64-E45*(1-E75)+E68</f>
        <v/>
      </c>
      <c r="F70" s="25">
        <f>E70-F64-F45*(1-F75)+F68</f>
        <v/>
      </c>
      <c r="G70" s="25">
        <f>F70-G64-G45*(1-G75)+G68</f>
        <v/>
      </c>
      <c r="H70" s="2" t="inlineStr">
        <is>
          <t>rolled from the balance-date figure; feeds interest only</t>
        </is>
      </c>
    </row>
    <row r="72">
      <c r="A72" s="23" t="inlineStr">
        <is>
          <t>Drivers (blue = input; a year left black carries the prior year)</t>
        </is>
      </c>
      <c r="B72" s="24" t="n"/>
      <c r="C72" s="24" t="n"/>
      <c r="D72" s="24" t="n"/>
      <c r="E72" s="24" t="n"/>
      <c r="F72" s="24" t="n"/>
      <c r="G72" s="24" t="n"/>
      <c r="H72" s="24" t="n"/>
    </row>
    <row r="73">
      <c r="A73" t="inlineStr">
        <is>
          <t>Revenue growth</t>
        </is>
      </c>
      <c r="C73" s="20">
        <f>C37</f>
        <v/>
      </c>
      <c r="D73" s="20">
        <f>D37</f>
        <v/>
      </c>
      <c r="E73" s="26">
        <f>E37</f>
        <v/>
      </c>
      <c r="F73" s="20">
        <f>F37</f>
        <v/>
      </c>
      <c r="G73" s="20">
        <f>G37</f>
        <v/>
      </c>
      <c r="H73" s="2" t="inlineStr">
        <is>
          <t>implied by the segment build (edit the segment rows)</t>
        </is>
      </c>
    </row>
    <row r="74">
      <c r="A74" t="inlineStr">
        <is>
          <t>EBIT margin</t>
        </is>
      </c>
      <c r="E74" s="26">
        <f>E41</f>
        <v/>
      </c>
      <c r="F74" s="20">
        <f>F41</f>
        <v/>
      </c>
      <c r="G74" s="20">
        <f>G41</f>
        <v/>
      </c>
      <c r="H74" s="2" t="inlineStr">
        <is>
          <t>implied by the segment build and corporate EBIT</t>
        </is>
      </c>
    </row>
    <row r="75">
      <c r="A75" t="inlineStr">
        <is>
          <t>Tax rate</t>
        </is>
      </c>
      <c r="B75" s="20">
        <f>B49</f>
        <v/>
      </c>
      <c r="C75" s="20">
        <f>C49</f>
        <v/>
      </c>
      <c r="D75" s="20">
        <f>D49</f>
        <v/>
      </c>
      <c r="E75" s="26" t="n">
        <v>0.215</v>
      </c>
      <c r="F75" s="26" t="n">
        <v>0.215</v>
      </c>
      <c r="G75" s="26" t="n">
        <v>0.215</v>
      </c>
    </row>
    <row r="76">
      <c r="A76" t="inlineStr">
        <is>
          <t>D&amp;A % revenue</t>
        </is>
      </c>
      <c r="B76" s="20">
        <f>B42/B36</f>
        <v/>
      </c>
      <c r="C76" s="20">
        <f>C42/C36</f>
        <v/>
      </c>
      <c r="D76" s="20">
        <f>D42/D36</f>
        <v/>
      </c>
      <c r="E76" s="26" t="n">
        <v>0.15253</v>
      </c>
      <c r="F76" s="26" t="n">
        <v>0.15139</v>
      </c>
      <c r="G76" s="26" t="n">
        <v>0.15415</v>
      </c>
    </row>
    <row r="77">
      <c r="A77" t="inlineStr">
        <is>
          <t>Capex % revenue</t>
        </is>
      </c>
      <c r="B77" s="20">
        <f>B61</f>
        <v/>
      </c>
      <c r="C77" s="20">
        <f>C61</f>
        <v/>
      </c>
      <c r="D77" s="20">
        <f>D61</f>
        <v/>
      </c>
      <c r="E77" s="26" t="n">
        <v>0.1811513157092631</v>
      </c>
      <c r="F77" s="26" t="n">
        <v>0.1787072743212229</v>
      </c>
      <c r="G77" s="26" t="n">
        <v>0.1761317442062811</v>
      </c>
    </row>
    <row r="78">
      <c r="A78" t="inlineStr">
        <is>
          <t>Working capital % of revenue increase</t>
        </is>
      </c>
      <c r="E78" s="26" t="n">
        <v>0</v>
      </c>
      <c r="F78" s="26" t="n">
        <v>0</v>
      </c>
      <c r="G78" s="26" t="n">
        <v>0</v>
      </c>
    </row>
    <row r="79">
      <c r="A79" t="inlineStr">
        <is>
          <t>Stock comp % revenue</t>
        </is>
      </c>
      <c r="B79" s="20">
        <f>B67/B36</f>
        <v/>
      </c>
      <c r="C79" s="20">
        <f>C67/C36</f>
        <v/>
      </c>
      <c r="D79" s="20">
        <f>D67/D36</f>
        <v/>
      </c>
      <c r="E79" s="26" t="n">
        <v>0.0043</v>
      </c>
      <c r="F79" s="26" t="n">
        <v>0.0043</v>
      </c>
      <c r="G79" s="26" t="n">
        <v>0.0043</v>
      </c>
    </row>
    <row r="80">
      <c r="A80" t="inlineStr">
        <is>
          <t>Shareholder returns ($)</t>
        </is>
      </c>
      <c r="E80" s="28" t="n">
        <v>0</v>
      </c>
      <c r="F80" s="28" t="n">
        <v>0</v>
      </c>
      <c r="G80" s="28" t="n">
        <v>0</v>
      </c>
    </row>
    <row r="81">
      <c r="A81" t="inlineStr">
        <is>
          <t>Shareholder returns % revenue</t>
        </is>
      </c>
      <c r="B81" s="20">
        <f>B69</f>
        <v/>
      </c>
      <c r="C81" s="20">
        <f>C69</f>
        <v/>
      </c>
      <c r="D81" s="20">
        <f>D69</f>
        <v/>
      </c>
      <c r="E81" s="26" t="n">
        <v>0</v>
      </c>
      <c r="F81" s="20">
        <f>E81</f>
        <v/>
      </c>
      <c r="G81" s="20">
        <f>F81</f>
        <v/>
      </c>
    </row>
    <row r="82">
      <c r="A82" t="inlineStr">
        <is>
          <t>Other uses of cash ($: M&amp;A, investments)</t>
        </is>
      </c>
      <c r="E82" s="28" t="n">
        <v>0</v>
      </c>
      <c r="F82" s="28" t="n">
        <v>0</v>
      </c>
      <c r="G82" s="28" t="n">
        <v>0</v>
      </c>
    </row>
    <row r="83">
      <c r="A83" t="inlineStr">
        <is>
          <t>Adj. EBITDA addback % revenue</t>
        </is>
      </c>
      <c r="E83" s="26" t="n">
        <v>0</v>
      </c>
      <c r="F83" s="26" t="n">
        <v>0</v>
      </c>
      <c r="G83" s="26" t="n">
        <v>0</v>
      </c>
    </row>
    <row r="85">
      <c r="A85" s="23" t="inlineStr">
        <is>
          <t>Versus company guidance and street consensus</t>
        </is>
      </c>
      <c r="B85" s="24" t="n"/>
      <c r="C85" s="24" t="n"/>
      <c r="D85" s="24" t="n"/>
      <c r="E85" s="24" t="n"/>
      <c r="F85" s="24" t="n"/>
      <c r="G85" s="24" t="n"/>
      <c r="H85" s="24" t="n"/>
    </row>
    <row r="86">
      <c r="A86" t="inlineStr">
        <is>
          <t>Guidance: adjusted EPS (adjusted), midpoint</t>
        </is>
      </c>
      <c r="E86" s="15">
        <f>AVERAGE(2.4,2.4)</f>
        <v/>
      </c>
      <c r="H86" s="2" t="inlineStr">
        <is>
          <t>2.4 to 2.4; as of 2026-10-21; source 4 (AT&amp;T 8-K Ex.99.1: Q3 2026 earnings release and outlook)</t>
        </is>
      </c>
    </row>
    <row r="87">
      <c r="A87" t="inlineStr">
        <is>
          <t>Guidance: adjusted EBITDA growth (adjusted), midpoint</t>
        </is>
      </c>
      <c r="E87" s="33">
        <f>AVERAGE(0.035,0.04)</f>
        <v/>
      </c>
      <c r="H87" s="2" t="inlineStr">
        <is>
          <t>0.035 to 0.04; as of 2026-10-21; source 4 (AT&amp;T 8-K Ex.99.1: Q3 2026 earnings release and outlook)</t>
        </is>
      </c>
    </row>
    <row r="88">
      <c r="A88" t="inlineStr">
        <is>
          <t>Guidance: free cash flow (CFO - capex - vendor financing), midpoint</t>
        </is>
      </c>
      <c r="E88" s="33" t="n">
        <v>18000</v>
      </c>
      <c r="H88" s="2" t="inlineStr">
        <is>
          <t>as of 2026-10-21; source 4 (AT&amp;T 8-K Ex.99.1: Q3 2026 earnings release and outlook)</t>
        </is>
      </c>
    </row>
    <row r="89">
      <c r="A89" t="inlineStr">
        <is>
          <t>Guidance: free cash flow (as above), midpoint</t>
        </is>
      </c>
      <c r="F89" s="33" t="n">
        <v>19000</v>
      </c>
      <c r="H89" s="2" t="inlineStr">
        <is>
          <t>as of 2026-10-21; source 4 (AT&amp;T 8-K Ex.99.1: Q3 2026 earnings release and outlook)</t>
        </is>
      </c>
    </row>
    <row r="90">
      <c r="A90" t="inlineStr">
        <is>
          <t>Guidance: free cash flow (as above), midpoint</t>
        </is>
      </c>
      <c r="G90" s="33" t="n">
        <v>21000</v>
      </c>
      <c r="H90" s="2" t="inlineStr">
        <is>
          <t>as of 2026-10-21; source 4 (AT&amp;T 8-K Ex.99.1: Q3 2026 earnings release and outlook)</t>
        </is>
      </c>
    </row>
    <row r="91">
      <c r="A91" t="inlineStr">
        <is>
          <t>Guidance: capital investment (capex + vendor financing), midpoint</t>
        </is>
      </c>
      <c r="E91" s="33">
        <f>AVERAGE(23000,24000)</f>
        <v/>
      </c>
      <c r="H91" s="2" t="inlineStr">
        <is>
          <t>2.3e+04 to 2.4e+04; as of 2026-10-21; source 4 (AT&amp;T 8-K Ex.99.1: Q3 2026 earnings release and outlook)</t>
        </is>
      </c>
    </row>
    <row r="92">
      <c r="A92" t="inlineStr">
        <is>
          <t>Guidance: capital investment (capex + vendor financing), midpoint</t>
        </is>
      </c>
      <c r="F92" s="33">
        <f>AVERAGE(22000,23000)</f>
        <v/>
      </c>
      <c r="H92" s="2" t="inlineStr">
        <is>
          <t>2.2e+04 to 2.3e+04; as of 2026-10-21; source 4 (AT&amp;T 8-K Ex.99.1: Q3 2026 earnings release and outlook)</t>
        </is>
      </c>
    </row>
    <row r="93">
      <c r="A93" t="inlineStr">
        <is>
          <t>Guidance: capital investment (capex + vendor financing), midpoint</t>
        </is>
      </c>
      <c r="G93" s="33">
        <f>AVERAGE(22000,23000)</f>
        <v/>
      </c>
      <c r="H93" s="2" t="inlineStr">
        <is>
          <t>2.2e+04 to 2.3e+04; as of 2026-10-21; source 4 (AT&amp;T 8-K Ex.99.1: Q3 2026 earnings release and outlook)</t>
        </is>
      </c>
    </row>
    <row r="94">
      <c r="A94" t="inlineStr">
        <is>
          <t>Guidance: adjusted EBITDA growth (adjusted, ex-Mexico), midpoint</t>
        </is>
      </c>
      <c r="G94" s="33" t="n">
        <v>0.05</v>
      </c>
      <c r="H94" s="2" t="inlineStr">
        <is>
          <t>as of 2026-10-21; source 4 (AT&amp;T 8-K Ex.99.1: Q3 2026 earnings release and outlook)</t>
        </is>
      </c>
    </row>
    <row r="95">
      <c r="A95" t="inlineStr">
        <is>
          <t>Guidance: dividend per share (annualised), midpoint</t>
        </is>
      </c>
      <c r="E95" s="33">
        <f>AVERAGE(1.11,1.11)</f>
        <v/>
      </c>
      <c r="H95" s="2" t="inlineStr">
        <is>
          <t>1.11 to 1.11; as of 2026-10-21; source 4 (AT&amp;T 8-K Ex.99.1: Q3 2026 earnings release and outlook)</t>
        </is>
      </c>
    </row>
    <row r="96">
      <c r="A96" t="inlineStr">
        <is>
          <t>Guidance: adjusted EPS (long-term target: double-digit 3-year CAGR from $2.12; floor $2.12 x 1.1^3) (adjusted; long-term target), midpoint</t>
        </is>
      </c>
      <c r="G96" s="15">
        <f>AVERAGE(2.82,2.82)</f>
        <v/>
      </c>
      <c r="H96" s="2" t="inlineStr">
        <is>
          <t>2.82 to 2.82; as of 2026-10-21; source 4, 8 (AT&amp;T 8-K Ex.99.1: Q3 2026 earnings release and outlook)</t>
        </is>
      </c>
    </row>
    <row r="97">
      <c r="A97" t="inlineStr">
        <is>
          <t>Guidance: Advanced Connectivity EBITDA growth (segment EBITDA; 'mid-to-high-single-digit range annually' read as 5-8%), midpoint</t>
        </is>
      </c>
      <c r="F97" s="33">
        <f>AVERAGE(0.05,0.08)</f>
        <v/>
      </c>
      <c r="H97" s="2" t="inlineStr">
        <is>
          <t>0.05 to 0.08; as of 2026-10-21; source 4 (AT&amp;T 8-K Ex.99.1: Q3 2026 earnings release and outlook)</t>
        </is>
      </c>
    </row>
    <row r="98">
      <c r="A98" t="inlineStr">
        <is>
          <t>Guidance: Advanced Connectivity service revenue growth ('mid-single-digit range annually' read as 4-6% (5%+ in 2026)), midpoint</t>
        </is>
      </c>
      <c r="F98" s="33">
        <f>AVERAGE(0.04,0.06)</f>
        <v/>
      </c>
      <c r="H98" s="2" t="inlineStr">
        <is>
          <t>0.04 to 0.06; as of 2026-10-21; source 4 (AT&amp;T 8-K Ex.99.1: Q3 2026 earnings release and outlook)</t>
        </is>
      </c>
    </row>
    <row r="99">
      <c r="A99" t="inlineStr">
        <is>
          <t>Guidance: Advanced Connectivity service revenue growth ('mid-single-digit range annually' read as 4-6%), midpoint</t>
        </is>
      </c>
      <c r="G99" s="33">
        <f>AVERAGE(0.04,0.06)</f>
        <v/>
      </c>
      <c r="H99" s="2" t="inlineStr">
        <is>
          <t>0.04 to 0.06; as of 2026-10-21; source 4 (AT&amp;T 8-K Ex.99.1: Q3 2026 earnings release and outlook)</t>
        </is>
      </c>
    </row>
    <row r="100">
      <c r="A100" t="inlineStr">
        <is>
          <t>Guidance: Legacy service revenue growth ('decline of 20%+ in 2026', immaterial by end-2029), midpoint</t>
        </is>
      </c>
      <c r="E100" s="33">
        <f>AVERAGE(-0.2,-0.2)</f>
        <v/>
      </c>
      <c r="H100" s="2" t="inlineStr">
        <is>
          <t>-0.2 to -0.2; as of 2026-10-21; source 4 (AT&amp;T 8-K Ex.99.1: Q3 2026 earnings release and outlook)</t>
        </is>
      </c>
    </row>
    <row r="101">
      <c r="A101" t="inlineStr">
        <is>
          <t>Consensus: EBITDA (adjusted (consensus))</t>
        </is>
      </c>
      <c r="E101" s="34" t="n">
        <v>48254</v>
      </c>
      <c r="H101" s="2" t="inlineStr">
        <is>
          <t>as of 2026-10-23; source 19 (MarketScreener: AT&amp;T consensus estimates (24 analysts))</t>
        </is>
      </c>
    </row>
    <row r="102">
      <c r="A102" t="inlineStr">
        <is>
          <t>Consensus: EBITDA (adjusted (consensus))</t>
        </is>
      </c>
      <c r="F102" s="34" t="n">
        <v>49750</v>
      </c>
      <c r="H102" s="2" t="inlineStr">
        <is>
          <t>as of 2026-10-23; source 19 (MarketScreener: AT&amp;T consensus estimates (24 analysts))</t>
        </is>
      </c>
    </row>
    <row r="103">
      <c r="A103" t="inlineStr">
        <is>
          <t>Consensus: EBITDA (adjusted (consensus))</t>
        </is>
      </c>
      <c r="G103" s="34" t="n">
        <v>51989</v>
      </c>
      <c r="H103" s="2" t="inlineStr">
        <is>
          <t>as of 2026-10-23; source 19 (MarketScreener: AT&amp;T consensus estimates (24 analysts))</t>
        </is>
      </c>
    </row>
    <row r="104">
      <c r="A104" t="inlineStr">
        <is>
          <t>Consensus: free cash flow (consensus)</t>
        </is>
      </c>
      <c r="F104" s="34" t="n">
        <v>19239</v>
      </c>
      <c r="H104" s="2" t="inlineStr">
        <is>
          <t>as of 2026-10-23; source 19 (MarketScreener: AT&amp;T consensus estimates (24 analysts))</t>
        </is>
      </c>
    </row>
    <row r="105">
      <c r="A105" t="inlineStr">
        <is>
          <t>Consensus: free cash flow (consensus)</t>
        </is>
      </c>
      <c r="G105" s="34" t="n">
        <v>20973</v>
      </c>
      <c r="H105" s="2" t="inlineStr">
        <is>
          <t>as of 2026-10-23; source 19 (MarketScreener: AT&amp;T consensus estimates (24 analysts))</t>
        </is>
      </c>
    </row>
    <row r="106">
      <c r="A106" t="inlineStr">
        <is>
          <t>Consensus: EPS (MarketScreener consensus basis)</t>
        </is>
      </c>
      <c r="F106" s="17" t="n">
        <v>2.621</v>
      </c>
      <c r="H106" s="2" t="inlineStr">
        <is>
          <t>as of 2026-10-23; source 19 (MarketScreener: AT&amp;T consensus estimates (24 analysts))</t>
        </is>
      </c>
    </row>
    <row r="107">
      <c r="A107" s="11" t="inlineStr">
        <is>
          <t xml:space="preserve">  Model vs consensus</t>
        </is>
      </c>
      <c r="F107" s="29">
        <f>F54/F106-1</f>
        <v/>
      </c>
    </row>
    <row r="108">
      <c r="A108" t="inlineStr">
        <is>
          <t>Consensus: EPS (MarketScreener consensus basis)</t>
        </is>
      </c>
      <c r="G108" s="17" t="n">
        <v>2.934</v>
      </c>
      <c r="H108" s="2" t="inlineStr">
        <is>
          <t>as of 2026-10-23; source 19 (MarketScreener: AT&amp;T consensus estimates (24 analysts))</t>
        </is>
      </c>
    </row>
    <row r="109">
      <c r="A109" s="11" t="inlineStr">
        <is>
          <t xml:space="preserve">  Model vs consensus</t>
        </is>
      </c>
      <c r="G109" s="29">
        <f>G54/G108-1</f>
        <v/>
      </c>
    </row>
    <row r="110">
      <c r="A110" t="inlineStr">
        <is>
          <t>Consensus: net debt (consensus)</t>
        </is>
      </c>
      <c r="F110" s="34" t="n">
        <v>146571</v>
      </c>
      <c r="H110" s="2" t="inlineStr">
        <is>
          <t>as of 2026-10-23; source 19 (MarketScreener: AT&amp;T consensus estimates (24 analysts))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60" customWidth="1" min="10" max="10"/>
    <col width="13" customWidth="1" min="11" max="11"/>
  </cols>
  <sheetData>
    <row r="1">
      <c r="A1" s="1" t="inlineStr">
        <is>
          <t>T: valuation and price target derivation</t>
        </is>
      </c>
    </row>
    <row r="2">
      <c r="A2" s="2" t="inlineStr">
        <is>
          <t>Value per share at the target date = weighted methods below; the 12-month target is the median of the scenario mix (Distribution tab).</t>
        </is>
      </c>
    </row>
    <row r="3">
      <c r="A3" s="3" t="inlineStr">
        <is>
          <t>Method</t>
        </is>
      </c>
      <c r="B3" s="3" t="inlineStr">
        <is>
          <t>Multiple</t>
        </is>
      </c>
      <c r="C3" s="3" t="inlineStr">
        <is>
          <t>Metric at target date</t>
        </is>
      </c>
      <c r="D3" s="3" t="inlineStr">
        <is>
          <t>Value per share</t>
        </is>
      </c>
      <c r="E3" s="3" t="inlineStr">
        <is>
          <t>Weight</t>
        </is>
      </c>
      <c r="F3" s="3" t="inlineStr">
        <is>
          <t>Contribution</t>
        </is>
      </c>
    </row>
    <row r="4">
      <c r="A4" s="18">
        <f>'Calc - research target (12m)'!A67</f>
        <v/>
      </c>
      <c r="B4" s="4">
        <f>IF('Calc - research target (12m)'!C67="","",'Calc - research target (12m)'!C67)</f>
        <v/>
      </c>
      <c r="C4" s="35">
        <f>IF('Calc - research target (12m)'!I67="","",'Calc - research target (12m)'!I67)</f>
        <v/>
      </c>
      <c r="D4" s="4">
        <f>'Calc - research target (12m)'!F67</f>
        <v/>
      </c>
      <c r="E4" s="12">
        <f>'Calc - research target (12m)'!G67</f>
        <v/>
      </c>
      <c r="F4" s="9">
        <f>D4*E4/SUM($E$4:$E$7)</f>
        <v/>
      </c>
    </row>
    <row r="5">
      <c r="A5" s="18">
        <f>'Calc - research target (12m)'!A68</f>
        <v/>
      </c>
      <c r="B5" s="4">
        <f>IF('Calc - research target (12m)'!C68="","",'Calc - research target (12m)'!C68)</f>
        <v/>
      </c>
      <c r="C5" s="35">
        <f>IF('Calc - research target (12m)'!I68="","",'Calc - research target (12m)'!I68)</f>
        <v/>
      </c>
      <c r="D5" s="4">
        <f>'Calc - research target (12m)'!F68</f>
        <v/>
      </c>
      <c r="E5" s="12">
        <f>'Calc - research target (12m)'!G68</f>
        <v/>
      </c>
      <c r="F5" s="9">
        <f>D5*E5/SUM($E$4:$E$7)</f>
        <v/>
      </c>
    </row>
    <row r="6">
      <c r="A6" s="18">
        <f>'Calc - research target (12m)'!A69</f>
        <v/>
      </c>
      <c r="B6" s="4">
        <f>IF('Calc - research target (12m)'!C69="","",'Calc - research target (12m)'!C69)</f>
        <v/>
      </c>
      <c r="C6" s="35">
        <f>IF('Calc - research target (12m)'!I69="","",'Calc - research target (12m)'!I69)</f>
        <v/>
      </c>
      <c r="D6" s="4">
        <f>'Calc - research target (12m)'!F69</f>
        <v/>
      </c>
      <c r="E6" s="12">
        <f>'Calc - research target (12m)'!G69</f>
        <v/>
      </c>
      <c r="F6" s="9">
        <f>D6*E6/SUM($E$4:$E$7)</f>
        <v/>
      </c>
    </row>
    <row r="7">
      <c r="A7" s="18">
        <f>'Calc - research target (12m)'!A70</f>
        <v/>
      </c>
      <c r="B7" s="4">
        <f>IF('Calc - research target (12m)'!C70="","",'Calc - research target (12m)'!C70)</f>
        <v/>
      </c>
      <c r="C7" s="35">
        <f>IF('Calc - research target (12m)'!I70="","",'Calc - research target (12m)'!I70)</f>
        <v/>
      </c>
      <c r="D7" s="4">
        <f>'Calc - research target (12m)'!F70</f>
        <v/>
      </c>
      <c r="E7" s="12">
        <f>'Calc - research target (12m)'!G70</f>
        <v/>
      </c>
      <c r="F7" s="9">
        <f>D7*E7/SUM($E$4:$E$7)</f>
        <v/>
      </c>
    </row>
    <row r="8">
      <c r="A8" s="21" t="inlineStr">
        <is>
          <t>Research target (12m) per share</t>
        </is>
      </c>
      <c r="D8" s="6">
        <f>'Calc - research target (12m)'!$F$71</f>
        <v/>
      </c>
      <c r="F8" s="6">
        <f>SUM(F4:F7)</f>
        <v/>
      </c>
    </row>
    <row r="10">
      <c r="A10" s="23" t="inlineStr">
        <is>
          <t>12-month EPS basis (what the P/E is applied to)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</row>
    <row r="11">
      <c r="A11" s="3" t="inlineStr">
        <is>
          <t>Fiscal year</t>
        </is>
      </c>
      <c r="B11" s="3">
        <f>Model!E5</f>
        <v/>
      </c>
      <c r="C11" s="3">
        <f>Model!F5</f>
        <v/>
      </c>
      <c r="D11" s="3">
        <f>Model!G5</f>
        <v/>
      </c>
    </row>
    <row r="12">
      <c r="A12" t="inlineStr">
        <is>
          <t>Share of the 12 months after the target date</t>
        </is>
      </c>
      <c r="B12" s="12">
        <f>'Calc - research target (12m)'!C38</f>
        <v/>
      </c>
      <c r="C12" s="12">
        <f>'Calc - research target (12m)'!D38</f>
        <v/>
      </c>
      <c r="D12" s="12">
        <f>'Calc - research target (12m)'!E38</f>
        <v/>
      </c>
    </row>
    <row r="13">
      <c r="A13" t="inlineStr">
        <is>
          <t>Model EPS (Model tab)</t>
        </is>
      </c>
      <c r="B13" s="13">
        <f>Model!E54</f>
        <v/>
      </c>
      <c r="C13" s="13">
        <f>Model!F54</f>
        <v/>
      </c>
      <c r="D13" s="13">
        <f>Model!G54</f>
        <v/>
      </c>
    </row>
    <row r="14">
      <c r="A14" t="inlineStr">
        <is>
          <t>Model EPS, next 12 months after the target date</t>
        </is>
      </c>
      <c r="B14" s="32">
        <f>SUMPRODUCT(B12:D12,B13:D13)</f>
        <v/>
      </c>
    </row>
    <row r="15">
      <c r="A15" t="inlineStr">
        <is>
          <t>Stated next-12-month EPS used by the P/E method (consensus basis, cited)</t>
        </is>
      </c>
      <c r="B15" s="31">
        <f>Valuation!F72</f>
        <v/>
      </c>
      <c r="C15" s="29">
        <f>B15/B14-1</f>
        <v/>
      </c>
      <c r="D15" s="2" t="inlineStr">
        <is>
          <t>vs model EPS</t>
        </is>
      </c>
    </row>
    <row r="17">
      <c r="A17" s="23" t="inlineStr">
        <is>
          <t>DCF build (free cash flow to firm, discounted to the target date)</t>
        </is>
      </c>
      <c r="B17" s="24" t="n"/>
      <c r="C17" s="24" t="n"/>
      <c r="D17" s="24" t="n"/>
      <c r="E17" s="24" t="n"/>
      <c r="F17" s="24" t="n"/>
      <c r="G17" s="24" t="n"/>
      <c r="H17" s="24" t="n"/>
      <c r="I17" s="24" t="n"/>
    </row>
    <row r="18">
      <c r="A18" s="3" t="inlineStr">
        <is>
          <t>Fiscal year</t>
        </is>
      </c>
      <c r="B18" s="3">
        <f>Model!E5</f>
        <v/>
      </c>
      <c r="C18" s="3">
        <f>Model!F5</f>
        <v/>
      </c>
      <c r="D18" s="3">
        <f>Model!G5</f>
        <v/>
      </c>
    </row>
    <row r="19">
      <c r="A19" t="inlineStr">
        <is>
          <t>Free cash flow to firm</t>
        </is>
      </c>
      <c r="B19" s="10">
        <f>'Calc - research target (12m)'!C31</f>
        <v/>
      </c>
      <c r="C19" s="10">
        <f>'Calc - research target (12m)'!D31</f>
        <v/>
      </c>
      <c r="D19" s="10">
        <f>'Calc - research target (12m)'!E31</f>
        <v/>
      </c>
    </row>
    <row r="20">
      <c r="A20" t="inlineStr">
        <is>
          <t>Share of the year after the target date</t>
        </is>
      </c>
      <c r="B20" s="12">
        <f>'Calc - research target (12m)'!C35</f>
        <v/>
      </c>
      <c r="C20" s="12">
        <f>'Calc - research target (12m)'!D35</f>
        <v/>
      </c>
      <c r="D20" s="12">
        <f>'Calc - research target (12m)'!E35</f>
        <v/>
      </c>
    </row>
    <row r="21">
      <c r="A21" t="inlineStr">
        <is>
          <t>PV at target date</t>
        </is>
      </c>
      <c r="B21" s="10">
        <f>'Calc - research target (12m)'!C36</f>
        <v/>
      </c>
      <c r="C21" s="10">
        <f>'Calc - research target (12m)'!D36</f>
        <v/>
      </c>
      <c r="D21" s="10">
        <f>'Calc - research target (12m)'!E36</f>
        <v/>
      </c>
    </row>
    <row r="23">
      <c r="A23" t="inlineStr">
        <is>
          <t>PV of free cash flow after the target date</t>
        </is>
      </c>
      <c r="B23" s="10">
        <f>'Calc - research target (12m)'!B42</f>
        <v/>
      </c>
    </row>
    <row r="24">
      <c r="A24" t="inlineStr">
        <is>
          <t>Terminal value (final year)</t>
        </is>
      </c>
      <c r="B24" s="10">
        <f>'Calc - research target (12m)'!B43</f>
        <v/>
      </c>
    </row>
    <row r="25">
      <c r="A25" t="inlineStr">
        <is>
          <t>PV of terminal value</t>
        </is>
      </c>
      <c r="B25" s="10">
        <f>'Calc - research target (12m)'!B44</f>
        <v/>
      </c>
    </row>
    <row r="26">
      <c r="A26" t="inlineStr">
        <is>
          <t>Enterprise value at target date</t>
        </is>
      </c>
      <c r="B26" s="10">
        <f>'Calc - research target (12m)'!B45</f>
        <v/>
      </c>
    </row>
    <row r="27">
      <c r="A27" t="inlineStr">
        <is>
          <t>Terminal value share of DCF</t>
        </is>
      </c>
      <c r="B27" s="12">
        <f>'Calc - research target (12m)'!B46</f>
        <v/>
      </c>
    </row>
    <row r="28">
      <c r="A28" t="inlineStr">
        <is>
          <t>Net debt at target date</t>
        </is>
      </c>
      <c r="B28" s="10">
        <f>'Calc - research target (12m)'!B50</f>
        <v/>
      </c>
    </row>
    <row r="29">
      <c r="A29" t="inlineStr">
        <is>
          <t>Minority interests</t>
        </is>
      </c>
      <c r="B29" s="10">
        <f>'Calc - research target (12m)'!B51</f>
        <v/>
      </c>
    </row>
    <row r="30">
      <c r="A30" t="inlineStr">
        <is>
          <t>Adjustments</t>
        </is>
      </c>
      <c r="B30" s="10">
        <f>'Calc - research target (12m)'!B52</f>
        <v/>
      </c>
    </row>
    <row r="31">
      <c r="A31" t="inlineStr">
        <is>
          <t>Diluted shares at target date (M)</t>
        </is>
      </c>
      <c r="B31" s="36">
        <f>'Calc - research target (12m)'!B53</f>
        <v/>
      </c>
    </row>
    <row r="32">
      <c r="A32" t="inlineStr">
        <is>
          <t>DCF value per share</t>
        </is>
      </c>
      <c r="B32" s="4">
        <f>'Calc - research target (12m)'!F67</f>
        <v/>
      </c>
    </row>
    <row r="33">
      <c r="A33" t="inlineStr">
        <is>
          <t>WACC</t>
        </is>
      </c>
      <c r="B33" s="12">
        <f>'Calc - research target (12m)'!B12</f>
        <v/>
      </c>
    </row>
    <row r="43">
      <c r="A43" s="23" t="inlineStr">
        <is>
          <t>Assumptions (blue = input; sources on the Sources tab)</t>
        </is>
      </c>
      <c r="B43" s="24" t="n"/>
      <c r="C43" s="24" t="n"/>
      <c r="D43" s="24" t="n"/>
      <c r="E43" s="24" t="n"/>
      <c r="F43" s="24" t="n"/>
      <c r="G43" s="24" t="n"/>
      <c r="H43" s="24" t="n"/>
      <c r="I43" s="24" t="n"/>
    </row>
    <row r="44">
      <c r="A44" s="3" t="inlineStr">
        <is>
          <t>Input</t>
        </is>
      </c>
      <c r="B44" s="3" t="inlineStr">
        <is>
          <t>Value</t>
        </is>
      </c>
      <c r="C44" s="3" t="inlineStr">
        <is>
          <t>Basis / note</t>
        </is>
      </c>
    </row>
    <row r="45">
      <c r="A45" t="inlineStr">
        <is>
          <t>Run date (valuation as of)</t>
        </is>
      </c>
      <c r="B45" s="37" t="n">
        <v>46318</v>
      </c>
      <c r="C45" t="inlineStr"/>
    </row>
    <row r="46">
      <c r="A46" t="inlineStr">
        <is>
          <t>Target date (run date + 365 days)</t>
        </is>
      </c>
      <c r="B46" s="22">
        <f>B45+365</f>
        <v/>
      </c>
      <c r="C46" t="inlineStr">
        <is>
          <t>12-month horizon</t>
        </is>
      </c>
    </row>
    <row r="47">
      <c r="A47" t="inlineStr">
        <is>
          <t>Money unit</t>
        </is>
      </c>
      <c r="B47" s="38" t="inlineStr">
        <is>
          <t>$M</t>
        </is>
      </c>
      <c r="C47" t="inlineStr"/>
    </row>
    <row r="48">
      <c r="A48" t="inlineStr">
        <is>
          <t>EBIT basis (gaap / adjusted)</t>
        </is>
      </c>
      <c r="B48" s="38" t="inlineStr">
        <is>
          <t>adjusted</t>
        </is>
      </c>
      <c r="C48" t="inlineStr">
        <is>
          <t>gaap = after stock comp</t>
        </is>
      </c>
    </row>
    <row r="49">
      <c r="A49" t="inlineStr">
        <is>
          <t>Stock comp treatment (cost / dilution)</t>
        </is>
      </c>
      <c r="B49" s="38" t="inlineStr">
        <is>
          <t>cost</t>
        </is>
      </c>
      <c r="C49" t="inlineStr">
        <is>
          <t>used only when EBIT is adjusted</t>
        </is>
      </c>
    </row>
    <row r="50">
      <c r="A50" t="inlineStr">
        <is>
          <t>Last reported fiscal year end</t>
        </is>
      </c>
      <c r="B50" s="37" t="n">
        <v>46022</v>
      </c>
      <c r="C50" t="inlineStr"/>
    </row>
    <row r="51">
      <c r="A51" t="inlineStr">
        <is>
          <t>Net sales, last reported year ($M)</t>
        </is>
      </c>
      <c r="B51" s="28" t="n">
        <v>125648</v>
      </c>
      <c r="C51" t="inlineStr"/>
    </row>
    <row r="52">
      <c r="A52" t="inlineStr">
        <is>
          <t>WACC</t>
        </is>
      </c>
      <c r="B52" s="26" t="n">
        <v>0.1</v>
      </c>
      <c r="C52" t="inlineStr">
        <is>
          <t>not used: no DCF leg (Kilian 2026-10-21); a placeholder so the DCF block still computes</t>
        </is>
      </c>
    </row>
    <row r="53">
      <c r="A53" t="inlineStr">
        <is>
          <t>Terminal method (gordon / exit_multiple / steady_state)</t>
        </is>
      </c>
      <c r="B53" s="38" t="inlineStr">
        <is>
          <t>gordon</t>
        </is>
      </c>
      <c r="C53" t="inlineStr"/>
    </row>
    <row r="54">
      <c r="A54" t="inlineStr">
        <is>
          <t>Terminal growth</t>
        </is>
      </c>
      <c r="B54" s="26" t="n">
        <v>0.02</v>
      </c>
      <c r="C54" t="inlineStr"/>
    </row>
    <row r="55">
      <c r="A55" t="inlineStr">
        <is>
          <t>Exit EV/EBITDA (exit_multiple only)</t>
        </is>
      </c>
      <c r="B55" s="39" t="n"/>
      <c r="C55" t="inlineStr"/>
    </row>
    <row r="56">
      <c r="A56" t="inlineStr">
        <is>
          <t>Balance-sheet date</t>
        </is>
      </c>
      <c r="B56" s="37" t="n">
        <v>46295</v>
      </c>
      <c r="C56" t="inlineStr"/>
    </row>
    <row r="57">
      <c r="A57" t="inlineStr">
        <is>
          <t>Net debt / (net cash) at balance date ($M)</t>
        </is>
      </c>
      <c r="B57" s="28" t="n">
        <v>149819</v>
      </c>
      <c r="C57" t="inlineStr">
        <is>
          <t>excludes operating leases</t>
        </is>
      </c>
    </row>
    <row r="58">
      <c r="A58" t="inlineStr">
        <is>
          <t>Minority interests + preferred stock</t>
        </is>
      </c>
      <c r="B58" s="28" t="n">
        <v>20935</v>
      </c>
      <c r="C58" t="inlineStr">
        <is>
          <t>minorities 17,985 + preferred 2,950</t>
        </is>
      </c>
    </row>
    <row r="59">
      <c r="A59" t="inlineStr">
        <is>
          <t>Interest rate on net debt / cash</t>
        </is>
      </c>
      <c r="B59" s="26" t="n">
        <v>0.05</v>
      </c>
      <c r="C59" t="inlineStr"/>
    </row>
    <row r="60">
      <c r="A60" t="inlineStr">
        <is>
          <t>Net debt at target date (override; blank = bridge)</t>
        </is>
      </c>
      <c r="B60" s="28" t="n">
        <v>144260</v>
      </c>
      <c r="C60" t="inlineStr"/>
    </row>
    <row r="61">
      <c r="A61" t="inlineStr">
        <is>
          <t>Diluted shares (M)</t>
        </is>
      </c>
      <c r="B61" s="40" t="n">
        <v>6745.5</v>
      </c>
      <c r="C61" t="inlineStr"/>
    </row>
    <row r="62">
      <c r="A62" t="inlineStr">
        <is>
          <t>Share count date</t>
        </is>
      </c>
      <c r="B62" s="37" t="n">
        <v>46310</v>
      </c>
      <c r="C62" t="inlineStr"/>
    </row>
    <row r="63">
      <c r="A63" t="inlineStr">
        <is>
          <t>Annual change in diluted shares</t>
        </is>
      </c>
      <c r="B63" s="26" t="n">
        <v>-0.0531</v>
      </c>
      <c r="C63" t="inlineStr">
        <is>
          <t>net of buybacks and stock-comp dilution</t>
        </is>
      </c>
    </row>
    <row r="64">
      <c r="A64" t="inlineStr">
        <is>
          <t>Shares at target date (override; blank = from annual change)</t>
        </is>
      </c>
      <c r="B64" s="40" t="n">
        <v>6387</v>
      </c>
      <c r="C64" t="inlineStr"/>
    </row>
    <row r="65">
      <c r="A65" t="inlineStr">
        <is>
          <t>DCF weight</t>
        </is>
      </c>
      <c r="B65" s="26" t="n">
        <v>0</v>
      </c>
      <c r="C65" t="inlineStr">
        <is>
          <t>Kilian 2026-10-21: 0 unless the name has a DCF leg (dcf_policy)</t>
        </is>
      </c>
    </row>
    <row r="66">
      <c r="A66" t="inlineStr">
        <is>
          <t>Sum-of-the-parts weight</t>
        </is>
      </c>
      <c r="B66" s="26" t="n">
        <v>0</v>
      </c>
      <c r="C66" t="inlineStr"/>
    </row>
    <row r="67">
      <c r="A67" t="inlineStr">
        <is>
          <t>Spread within each scenario (lognormal vol)</t>
        </is>
      </c>
      <c r="B67" s="26" t="n">
        <v>0.14</v>
      </c>
      <c r="C67" t="inlineStr"/>
    </row>
    <row r="68">
      <c r="A68" t="inlineStr">
        <is>
          <t>Share price at the run</t>
        </is>
      </c>
      <c r="B68" s="41" t="n">
        <v>20.93</v>
      </c>
      <c r="C68" t="inlineStr">
        <is>
          <t>close used by the run (2026-10-23)</t>
        </is>
      </c>
    </row>
    <row r="70">
      <c r="A70" s="3" t="inlineStr">
        <is>
          <t>Target multiple</t>
        </is>
      </c>
      <c r="B70" s="3" t="inlineStr">
        <is>
          <t>Multiple</t>
        </is>
      </c>
      <c r="C70" s="3" t="inlineStr">
        <is>
          <t>Weight</t>
        </is>
      </c>
      <c r="D70" s="3" t="inlineStr">
        <is>
          <t>Basis (ntm / ltm)</t>
        </is>
      </c>
      <c r="E70" s="3" t="inlineStr">
        <is>
          <t>EBITDA basis</t>
        </is>
      </c>
      <c r="F70" s="3" t="inlineStr">
        <is>
          <t>Stated EPS</t>
        </is>
      </c>
      <c r="G70" s="3" t="inlineStr">
        <is>
          <t>Stated FCF/share</t>
        </is>
      </c>
      <c r="H70" s="3" t="inlineStr">
        <is>
          <t>Levered</t>
        </is>
      </c>
      <c r="I70" s="3" t="inlineStr">
        <is>
          <t>Peer basis</t>
        </is>
      </c>
    </row>
    <row r="71">
      <c r="A71" s="38" t="inlineStr">
        <is>
          <t>EV/EBITDA</t>
        </is>
      </c>
      <c r="B71" s="39" t="n">
        <v>6.1</v>
      </c>
      <c r="C71" s="26" t="n">
        <v>0.5</v>
      </c>
      <c r="D71" s="38" t="inlineStr">
        <is>
          <t>ntm</t>
        </is>
      </c>
      <c r="E71" s="38" t="inlineStr">
        <is>
          <t>adjusted</t>
        </is>
      </c>
      <c r="F71" s="42" t="n"/>
      <c r="G71" s="42" t="n"/>
      <c r="H71" s="38" t="b">
        <v>1</v>
      </c>
      <c r="I71" t="inlineStr">
        <is>
          <t>EV incl. $18.0B NCI and $2.95B preferred, excl. the fiber stake: 6.1x = ~5.69x on the peers' basis; peer benchmark = 11-incumbent CY2027E median ex-DT 5.98x (12-peer 5.52x incl. DT, reference only; comps_review). Decided by Kilian 2026-10-26: keep the post-SpaceX multiple.</t>
        </is>
      </c>
    </row>
    <row r="72">
      <c r="A72" s="38" t="inlineStr">
        <is>
          <t>P/E</t>
        </is>
      </c>
      <c r="B72" s="39" t="n">
        <v>8.300000000000001</v>
      </c>
      <c r="C72" s="26" t="n">
        <v>0.35</v>
      </c>
      <c r="D72" s="38" t="inlineStr">
        <is>
          <t>ntm</t>
        </is>
      </c>
      <c r="E72" s="38" t="inlineStr">
        <is>
          <t>adjusted</t>
        </is>
      </c>
      <c r="F72" s="42" t="n">
        <v>2.861125591062467</v>
      </c>
      <c r="G72" s="42" t="n"/>
      <c r="H72" s="38" t="b">
        <v>1</v>
      </c>
      <c r="I72" t="inlineStr">
        <is>
          <t>NTM adjusted EPS; AT&amp;T today 8.34x on Zacks consensus NTM EPS (0.19 x $2.38 + 0.81 x $2.54 = $2.510, Nasdaq API, one source and basis); peer P/E median 10.55x is indicative only (EPS basis unstated); VZ 8.51x, CMCSA 7.4x</t>
        </is>
      </c>
    </row>
    <row r="73">
      <c r="A73" s="38" t="inlineStr">
        <is>
          <t>FCF yield</t>
        </is>
      </c>
      <c r="B73" s="26" t="n">
        <v>0.123</v>
      </c>
      <c r="C73" s="26" t="n">
        <v>0.15</v>
      </c>
      <c r="D73" s="38" t="inlineStr">
        <is>
          <t>ntm</t>
        </is>
      </c>
      <c r="E73" s="38" t="inlineStr">
        <is>
          <t>adjusted</t>
        </is>
      </c>
      <c r="F73" s="42" t="n"/>
      <c r="G73" s="42" t="n">
        <v>2.820827150370657</v>
      </c>
      <c r="H73" s="38" t="b">
        <v>1</v>
      </c>
      <c r="I73" t="inlineStr">
        <is>
          <t>FCF to common (after NCI distributions and preferred dividends) on horizon shares; AT&amp;T today 12.3% on consensus NTM FCF (0.19 x 17.97B + 0.81 x 19.24B - 1.65B) / 6,745.5M</t>
        </is>
      </c>
    </row>
    <row r="75">
      <c r="A75" s="3" t="inlineStr">
        <is>
          <t>Segment (sum of the parts)</t>
        </is>
      </c>
      <c r="B75" s="3" t="inlineStr">
        <is>
          <t>NTM metric</t>
        </is>
      </c>
      <c r="C75" s="3" t="inlineStr">
        <is>
          <t>Metric</t>
        </is>
      </c>
      <c r="D75" s="3" t="inlineStr">
        <is>
          <t>Multiple</t>
        </is>
      </c>
      <c r="E75" s="3" t="inlineStr">
        <is>
          <t>Note</t>
        </is>
      </c>
    </row>
    <row r="76">
      <c r="A76" s="11" t="inlineStr">
        <is>
          <t>none</t>
        </is>
      </c>
    </row>
    <row r="78">
      <c r="A78" s="3" t="inlineStr">
        <is>
          <t>Adjustment (equity level)</t>
        </is>
      </c>
      <c r="B78" s="3" t="inlineStr">
        <is>
          <t>Value</t>
        </is>
      </c>
      <c r="C78" s="3" t="inlineStr">
        <is>
          <t>Probability</t>
        </is>
      </c>
      <c r="D78" s="3" t="inlineStr">
        <is>
          <t>Note</t>
        </is>
      </c>
    </row>
    <row r="79">
      <c r="A79" s="38" t="inlineStr">
        <is>
          <t>Composite Fiber 37 stake (Forged Fiber held-for-sale net assets)</t>
        </is>
      </c>
      <c r="B79" s="28" t="n">
        <v>4058</v>
      </c>
      <c r="C79" s="26" t="n">
        <v>0.9</v>
      </c>
      <c r="D79" t="inlineStr">
        <is>
          <t>equity-level; 10-Q R63: Lumen Mass Markets discontinued-operations assets 4,781 less liabilities 723 = 4,058 (opened); R17: AT&amp;T sells 50% of Composite Fiber 37 to GIP/CPP Investments, which buy equity in the JV, joint board with an investor tie-break on the CEO, equity method, close H1 2027 (opened); x0.9 for governance and close risk; no holdco discount (see reasoning)</t>
        </is>
      </c>
    </row>
    <row r="80">
      <c r="A80" s="38" t="inlineStr">
        <is>
          <t>Upper C-band auction spend (expected)</t>
        </is>
      </c>
      <c r="B80" s="28" t="n">
        <v>-5000</v>
      </c>
      <c r="C80" s="26" t="n">
        <v>0.4</v>
      </c>
      <c r="D80" t="inlineStr">
        <is>
          <t>equity-level; FCC DA 26-769: Auction 115 (160 MHz, 3.98-4.14 GHz) bidding tentatively from 2027-04-27, statutory completion by 2027-07-04, so payments fall before the horizon; ~$5B AT&amp;T spend if it wins, p 0.4 (it just bought EchoStar spectrum and leverage is 3.13x); no NTM EBITDA from it</t>
        </is>
      </c>
    </row>
    <row r="82">
      <c r="A82" s="3" t="inlineStr">
        <is>
          <t>Custom method</t>
        </is>
      </c>
      <c r="B82" s="3" t="inlineStr">
        <is>
          <t>Value per share</t>
        </is>
      </c>
      <c r="C82" s="3" t="inlineStr">
        <is>
          <t>Weight</t>
        </is>
      </c>
      <c r="D82" s="3" t="inlineStr">
        <is>
          <t>Explanation</t>
        </is>
      </c>
    </row>
    <row r="83">
      <c r="A83" s="11" t="inlineStr">
        <is>
          <t>none</t>
        </is>
      </c>
    </row>
    <row r="85">
      <c r="A85" s="3" t="inlineStr">
        <is>
          <t>Scenario</t>
        </is>
      </c>
      <c r="B85" s="3" t="inlineStr">
        <is>
          <t>Probability</t>
        </is>
      </c>
      <c r="C85" s="3" t="inlineStr">
        <is>
          <t>Growth Δ</t>
        </is>
      </c>
      <c r="D85" s="3" t="inlineStr">
        <is>
          <t>Margin Δ</t>
        </is>
      </c>
      <c r="E85" s="3" t="inlineStr">
        <is>
          <t>Multiple Δ (turns)</t>
        </is>
      </c>
      <c r="F85" s="3" t="inlineStr">
        <is>
          <t>WACC Δ</t>
        </is>
      </c>
      <c r="G85" s="3" t="inlineStr">
        <is>
          <t>Multiple %Δ (FCF yield, segments)</t>
        </is>
      </c>
      <c r="H85" s="3" t="inlineStr">
        <is>
          <t>Stated EPS/FCF %Δ</t>
        </is>
      </c>
      <c r="I85" s="3" t="inlineStr">
        <is>
          <t>Custom methods %Δ</t>
        </is>
      </c>
      <c r="J85" s="3" t="inlineStr">
        <is>
          <t>Story</t>
        </is>
      </c>
    </row>
    <row r="86">
      <c r="A86" t="inlineStr">
        <is>
          <t>bear</t>
        </is>
      </c>
      <c r="B86" s="26" t="n">
        <v>0.25</v>
      </c>
      <c r="C86" s="26" t="n"/>
      <c r="D86" s="26" t="n"/>
      <c r="E86" s="43" t="n">
        <v>-0.8</v>
      </c>
      <c r="F86" s="26" t="n"/>
      <c r="G86" s="26" t="n">
        <v>-0.12</v>
      </c>
      <c r="H86" s="26" t="n"/>
      <c r="I86" s="26" t="n"/>
      <c r="J86" s="44" t="inlineStr">
        <is>
          <t>Starlink Mobile signs terrestrial site access and prices for share from late 2027 while Verizon keeps promotions high: wireless ARPU flat from 2027, fiber ARPU keeps falling, AC EBITDA roughly flat; the market prices AT&amp;T near cable (5.3x EBITDA, ~7x EPS, ~14% FCF yield).</t>
        </is>
      </c>
      <c r="K86" s="44" t="inlineStr">
        <is>
          <t>driver deltas: ws_arpu -0.025 %; pp_subs -0.01 %; hi_arpu -0.03 %; ac_m -0.012</t>
        </is>
      </c>
    </row>
    <row r="87">
      <c r="A87" t="inlineStr">
        <is>
          <t>base</t>
        </is>
      </c>
      <c r="B87" s="26" t="n">
        <v>0.5</v>
      </c>
      <c r="C87" s="26" t="n"/>
      <c r="D87" s="26" t="n"/>
      <c r="E87" s="43" t="n"/>
      <c r="F87" s="26" t="n"/>
      <c r="G87" s="26" t="n"/>
      <c r="H87" s="26" t="n"/>
      <c r="I87" s="26" t="n"/>
      <c r="J87" s="44" t="inlineStr">
        <is>
          <t>Drivers as set: AC EBITDA +6.4%/+6.0%/+5.5%, Legacy EBITDA negative in 2028, FCF $18.1B/$18.5B/$19.9B, ~5%/yr share count reduction; multiples stay at today's post-SpaceX levels (6.1x / 8.3x / 12.3%).</t>
        </is>
      </c>
    </row>
    <row r="88">
      <c r="A88" t="inlineStr">
        <is>
          <t>bull</t>
        </is>
      </c>
      <c r="B88" s="26" t="n">
        <v>0.25</v>
      </c>
      <c r="C88" s="26" t="n"/>
      <c r="D88" s="26" t="n"/>
      <c r="E88" s="43" t="n">
        <v>0.7</v>
      </c>
      <c r="F88" s="26" t="n"/>
      <c r="G88" s="26" t="n">
        <v>0.1</v>
      </c>
      <c r="H88" s="26" t="n"/>
      <c r="I88" s="26" t="n"/>
      <c r="J88" s="44" t="inlineStr">
        <is>
          <t>Starlink Mobile stays a satellite/niche offer without national terrestrial coverage, price actions stick and fiber ARPU recovers; EBITDA reaches the 5%+ 2028 plan; multiple recovers toward 6.8x (pre-Oct-8).</t>
        </is>
      </c>
      <c r="K88" s="44" t="inlineStr">
        <is>
          <t>driver deltas: ws_arpu +0.015 %; pp_subs +0.005 %; hi_arpu +0.02 %; ac_m +0.008</t>
        </is>
      </c>
    </row>
    <row r="90">
      <c r="A90" s="3" t="inlineStr">
        <is>
          <t>Segment build (segment_build)</t>
        </is>
      </c>
      <c r="B90" s="3" t="inlineStr">
        <is>
          <t>Base revenue ($M)</t>
        </is>
      </c>
      <c r="C90" s="3" t="inlineStr">
        <is>
          <t>Driver note (growth and EBIT margin by year: Model tab)</t>
        </is>
      </c>
    </row>
    <row r="91">
      <c r="A91" t="inlineStr">
        <is>
          <t>AC Wireless and Home</t>
        </is>
      </c>
      <c r="B91" s="28" t="n">
        <v>99620</v>
      </c>
      <c r="C91" t="inlineStr">
        <is>
          <t>postpaid phones x (wireless service ARPU x 12 + equipment $310.64/sub/yr) + home internet connections x ARPU x 12</t>
        </is>
      </c>
    </row>
    <row r="92">
      <c r="A92" t="inlineStr">
        <is>
          <t>AC Business Wireline and Other</t>
        </is>
      </c>
      <c r="B92" s="28" t="n">
        <v>12804</v>
      </c>
      <c r="C92" t="inlineStr">
        <is>
          <t>plain: business fiber/transitional and other AC revenue; margin from ac_m</t>
        </is>
      </c>
    </row>
    <row r="93">
      <c r="A93" t="inlineStr">
        <is>
          <t>Legacy</t>
        </is>
      </c>
      <c r="B93" s="28" t="n">
        <v>8472</v>
      </c>
      <c r="C93" t="inlineStr">
        <is>
          <t>plain: copper run-off (service revenue -20%+ guide; 9M 2026 -25.3%)</t>
        </is>
      </c>
    </row>
    <row r="94">
      <c r="A94" t="inlineStr">
        <is>
          <t>Latin America</t>
        </is>
      </c>
      <c r="B94" s="28" t="n">
        <v>4379</v>
      </c>
      <c r="C94" t="inlineStr">
        <is>
          <t>plain: Mexico wireless, sold (close expected Q1 2027); margin is an EBITDA margin (its D&amp;A sits in corporate)</t>
        </is>
      </c>
    </row>
    <row r="95">
      <c r="A95" t="inlineStr">
        <is>
          <t>Corporate and Other</t>
        </is>
      </c>
      <c r="B95" s="28" t="n">
        <v>373</v>
      </c>
      <c r="C95" t="inlineStr">
        <is>
          <t>plain</t>
        </is>
      </c>
    </row>
    <row r="96">
      <c r="A96" s="21" t="inlineStr">
        <is>
          <t>Sum of segment base revenues</t>
        </is>
      </c>
      <c r="B96" s="27">
        <f>SUM(B91:B95)</f>
        <v/>
      </c>
      <c r="C96">
        <f>IF(ABS(B96/Valuation!$B$51-1)&lt;=0.02,"ties to the last reported net sales (within 2%)","FLAG: does not tie to the last reported net sales")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T: sensitivity tables (bold = current inputs; every cell recalculates from the live model)</t>
        </is>
      </c>
    </row>
    <row r="3">
      <c r="A3" s="21" t="inlineStr">
        <is>
          <t>DCF value per share: WACC (down) x terminal growth (across)</t>
        </is>
      </c>
    </row>
    <row r="4">
      <c r="A4" s="21" t="inlineStr">
        <is>
          <t>WACC \ growth</t>
        </is>
      </c>
      <c r="B4" s="7">
        <f>Valuation!$B$54+(-0.01)</f>
        <v/>
      </c>
      <c r="C4" s="7">
        <f>Valuation!$B$54+(-0.005)</f>
        <v/>
      </c>
      <c r="D4" s="7">
        <f>Valuation!$B$54+(0)</f>
        <v/>
      </c>
      <c r="E4" s="7">
        <f>Valuation!$B$54+(0.005)</f>
        <v/>
      </c>
      <c r="F4" s="7">
        <f>Valuation!$B$54+(0.01)</f>
        <v/>
      </c>
    </row>
    <row r="5">
      <c r="A5" s="7">
        <f>Valuation!$B$52+(-0.01)</f>
        <v/>
      </c>
      <c r="B5" s="9">
        <f>IF($A5-B$4&lt;=0.01,"n/a",((SUMPRODUCT('Calc - research target (12m)'!$C$31:$E$31,'Calc - research target (12m)'!$C$35:$E$35,(1+$A5)^(-('Calc - research target (12m)'!$C$19:$E$19-'Calc - research target (12m)'!$B$13)))+'Calc - research target (12m)'!$E$31*(1+B$4)/($A5-B$4)/(1+$A5)^('Calc - research target (12m)'!$B$16-'Calc - research target (12m)'!$B$13))-'Calc - research target (12m)'!$B$50-'Calc - research target (12m)'!$B$51+'Calc - research target (12m)'!$B$52)/'Calc - research target (12m)'!$B$53)</f>
        <v/>
      </c>
      <c r="C5" s="9">
        <f>IF($A5-C$4&lt;=0.01,"n/a",((SUMPRODUCT('Calc - research target (12m)'!$C$31:$E$31,'Calc - research target (12m)'!$C$35:$E$35,(1+$A5)^(-('Calc - research target (12m)'!$C$19:$E$19-'Calc - research target (12m)'!$B$13)))+'Calc - research target (12m)'!$E$31*(1+C$4)/($A5-C$4)/(1+$A5)^('Calc - research target (12m)'!$B$16-'Calc - research target (12m)'!$B$13))-'Calc - research target (12m)'!$B$50-'Calc - research target (12m)'!$B$51+'Calc - research target (12m)'!$B$52)/'Calc - research target (12m)'!$B$53)</f>
        <v/>
      </c>
      <c r="D5" s="9">
        <f>IF($A5-D$4&lt;=0.01,"n/a",((SUMPRODUCT('Calc - research target (12m)'!$C$31:$E$31,'Calc - research target (12m)'!$C$35:$E$35,(1+$A5)^(-('Calc - research target (12m)'!$C$19:$E$19-'Calc - research target (12m)'!$B$13)))+'Calc - research target (12m)'!$E$31*(1+D$4)/($A5-D$4)/(1+$A5)^('Calc - research target (12m)'!$B$16-'Calc - research target (12m)'!$B$13))-'Calc - research target (12m)'!$B$50-'Calc - research target (12m)'!$B$51+'Calc - research target (12m)'!$B$52)/'Calc - research target (12m)'!$B$53)</f>
        <v/>
      </c>
      <c r="E5" s="9">
        <f>IF($A5-E$4&lt;=0.01,"n/a",((SUMPRODUCT('Calc - research target (12m)'!$C$31:$E$31,'Calc - research target (12m)'!$C$35:$E$35,(1+$A5)^(-('Calc - research target (12m)'!$C$19:$E$19-'Calc - research target (12m)'!$B$13)))+'Calc - research target (12m)'!$E$31*(1+E$4)/($A5-E$4)/(1+$A5)^('Calc - research target (12m)'!$B$16-'Calc - research target (12m)'!$B$13))-'Calc - research target (12m)'!$B$50-'Calc - research target (12m)'!$B$51+'Calc - research target (12m)'!$B$52)/'Calc - research target (12m)'!$B$53)</f>
        <v/>
      </c>
      <c r="F5" s="9">
        <f>IF($A5-F$4&lt;=0.01,"n/a",((SUMPRODUCT('Calc - research target (12m)'!$C$31:$E$31,'Calc - research target (12m)'!$C$35:$E$35,(1+$A5)^(-('Calc - research target (12m)'!$C$19:$E$19-'Calc - research target (12m)'!$B$13)))+'Calc - research target (12m)'!$E$31*(1+F$4)/($A5-F$4)/(1+$A5)^('Calc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6">
      <c r="A6" s="7">
        <f>Valuation!$B$52+(-0.005)</f>
        <v/>
      </c>
      <c r="B6" s="9">
        <f>IF($A6-B$4&lt;=0.01,"n/a",((SUMPRODUCT('Calc - research target (12m)'!$C$31:$E$31,'Calc - research target (12m)'!$C$35:$E$35,(1+$A6)^(-('Calc - research target (12m)'!$C$19:$E$19-'Calc - research target (12m)'!$B$13)))+'Calc - research target (12m)'!$E$31*(1+B$4)/($A6-B$4)/(1+$A6)^('Calc - research target (12m)'!$B$16-'Calc - research target (12m)'!$B$13))-'Calc - research target (12m)'!$B$50-'Calc - research target (12m)'!$B$51+'Calc - research target (12m)'!$B$52)/'Calc - research target (12m)'!$B$53)</f>
        <v/>
      </c>
      <c r="C6" s="9">
        <f>IF($A6-C$4&lt;=0.01,"n/a",((SUMPRODUCT('Calc - research target (12m)'!$C$31:$E$31,'Calc - research target (12m)'!$C$35:$E$35,(1+$A6)^(-('Calc - research target (12m)'!$C$19:$E$19-'Calc - research target (12m)'!$B$13)))+'Calc - research target (12m)'!$E$31*(1+C$4)/($A6-C$4)/(1+$A6)^('Calc - research target (12m)'!$B$16-'Calc - research target (12m)'!$B$13))-'Calc - research target (12m)'!$B$50-'Calc - research target (12m)'!$B$51+'Calc - research target (12m)'!$B$52)/'Calc - research target (12m)'!$B$53)</f>
        <v/>
      </c>
      <c r="D6" s="9">
        <f>IF($A6-D$4&lt;=0.01,"n/a",((SUMPRODUCT('Calc - research target (12m)'!$C$31:$E$31,'Calc - research target (12m)'!$C$35:$E$35,(1+$A6)^(-('Calc - research target (12m)'!$C$19:$E$19-'Calc - research target (12m)'!$B$13)))+'Calc - research target (12m)'!$E$31*(1+D$4)/($A6-D$4)/(1+$A6)^('Calc - research target (12m)'!$B$16-'Calc - research target (12m)'!$B$13))-'Calc - research target (12m)'!$B$50-'Calc - research target (12m)'!$B$51+'Calc - research target (12m)'!$B$52)/'Calc - research target (12m)'!$B$53)</f>
        <v/>
      </c>
      <c r="E6" s="9">
        <f>IF($A6-E$4&lt;=0.01,"n/a",((SUMPRODUCT('Calc - research target (12m)'!$C$31:$E$31,'Calc - research target (12m)'!$C$35:$E$35,(1+$A6)^(-('Calc - research target (12m)'!$C$19:$E$19-'Calc - research target (12m)'!$B$13)))+'Calc - research target (12m)'!$E$31*(1+E$4)/($A6-E$4)/(1+$A6)^('Calc - research target (12m)'!$B$16-'Calc - research target (12m)'!$B$13))-'Calc - research target (12m)'!$B$50-'Calc - research target (12m)'!$B$51+'Calc - research target (12m)'!$B$52)/'Calc - research target (12m)'!$B$53)</f>
        <v/>
      </c>
      <c r="F6" s="9">
        <f>IF($A6-F$4&lt;=0.01,"n/a",((SUMPRODUCT('Calc - research target (12m)'!$C$31:$E$31,'Calc - research target (12m)'!$C$35:$E$35,(1+$A6)^(-('Calc - research target (12m)'!$C$19:$E$19-'Calc - research target (12m)'!$B$13)))+'Calc - research target (12m)'!$E$31*(1+F$4)/($A6-F$4)/(1+$A6)^('Calc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7">
      <c r="A7" s="7">
        <f>Valuation!$B$52+(0)</f>
        <v/>
      </c>
      <c r="B7" s="9">
        <f>IF($A7-B$4&lt;=0.01,"n/a",((SUMPRODUCT('Calc - research target (12m)'!$C$31:$E$31,'Calc - research target (12m)'!$C$35:$E$35,(1+$A7)^(-('Calc - research target (12m)'!$C$19:$E$19-'Calc - research target (12m)'!$B$13)))+'Calc - research target (12m)'!$E$31*(1+B$4)/($A7-B$4)/(1+$A7)^('Calc - research target (12m)'!$B$16-'Calc - research target (12m)'!$B$13))-'Calc - research target (12m)'!$B$50-'Calc - research target (12m)'!$B$51+'Calc - research target (12m)'!$B$52)/'Calc - research target (12m)'!$B$53)</f>
        <v/>
      </c>
      <c r="C7" s="9">
        <f>IF($A7-C$4&lt;=0.01,"n/a",((SUMPRODUCT('Calc - research target (12m)'!$C$31:$E$31,'Calc - research target (12m)'!$C$35:$E$35,(1+$A7)^(-('Calc - research target (12m)'!$C$19:$E$19-'Calc - research target (12m)'!$B$13)))+'Calc - research target (12m)'!$E$31*(1+C$4)/($A7-C$4)/(1+$A7)^('Calc - research target (12m)'!$B$16-'Calc - research target (12m)'!$B$13))-'Calc - research target (12m)'!$B$50-'Calc - research target (12m)'!$B$51+'Calc - research target (12m)'!$B$52)/'Calc - research target (12m)'!$B$53)</f>
        <v/>
      </c>
      <c r="D7" s="6">
        <f>IF($A7-D$4&lt;=0.01,"n/a",((SUMPRODUCT('Calc - research target (12m)'!$C$31:$E$31,'Calc - research target (12m)'!$C$35:$E$35,(1+$A7)^(-('Calc - research target (12m)'!$C$19:$E$19-'Calc - research target (12m)'!$B$13)))+'Calc - research target (12m)'!$E$31*(1+D$4)/($A7-D$4)/(1+$A7)^('Calc - research target (12m)'!$B$16-'Calc - research target (12m)'!$B$13))-'Calc - research target (12m)'!$B$50-'Calc - research target (12m)'!$B$51+'Calc - research target (12m)'!$B$52)/'Calc - research target (12m)'!$B$53)</f>
        <v/>
      </c>
      <c r="E7" s="9">
        <f>IF($A7-E$4&lt;=0.01,"n/a",((SUMPRODUCT('Calc - research target (12m)'!$C$31:$E$31,'Calc - research target (12m)'!$C$35:$E$35,(1+$A7)^(-('Calc - research target (12m)'!$C$19:$E$19-'Calc - research target (12m)'!$B$13)))+'Calc - research target (12m)'!$E$31*(1+E$4)/($A7-E$4)/(1+$A7)^('Calc - research target (12m)'!$B$16-'Calc - research target (12m)'!$B$13))-'Calc - research target (12m)'!$B$50-'Calc - research target (12m)'!$B$51+'Calc - research target (12m)'!$B$52)/'Calc - research target (12m)'!$B$53)</f>
        <v/>
      </c>
      <c r="F7" s="9">
        <f>IF($A7-F$4&lt;=0.01,"n/a",((SUMPRODUCT('Calc - research target (12m)'!$C$31:$E$31,'Calc - research target (12m)'!$C$35:$E$35,(1+$A7)^(-('Calc - research target (12m)'!$C$19:$E$19-'Calc - research target (12m)'!$B$13)))+'Calc - research target (12m)'!$E$31*(1+F$4)/($A7-F$4)/(1+$A7)^('Calc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8">
      <c r="A8" s="7">
        <f>Valuation!$B$52+(0.005)</f>
        <v/>
      </c>
      <c r="B8" s="9">
        <f>IF($A8-B$4&lt;=0.01,"n/a",((SUMPRODUCT('Calc - research target (12m)'!$C$31:$E$31,'Calc - research target (12m)'!$C$35:$E$35,(1+$A8)^(-('Calc - research target (12m)'!$C$19:$E$19-'Calc - research target (12m)'!$B$13)))+'Calc - research target (12m)'!$E$31*(1+B$4)/($A8-B$4)/(1+$A8)^('Calc - research target (12m)'!$B$16-'Calc - research target (12m)'!$B$13))-'Calc - research target (12m)'!$B$50-'Calc - research target (12m)'!$B$51+'Calc - research target (12m)'!$B$52)/'Calc - research target (12m)'!$B$53)</f>
        <v/>
      </c>
      <c r="C8" s="9">
        <f>IF($A8-C$4&lt;=0.01,"n/a",((SUMPRODUCT('Calc - research target (12m)'!$C$31:$E$31,'Calc - research target (12m)'!$C$35:$E$35,(1+$A8)^(-('Calc - research target (12m)'!$C$19:$E$19-'Calc - research target (12m)'!$B$13)))+'Calc - research target (12m)'!$E$31*(1+C$4)/($A8-C$4)/(1+$A8)^('Calc - research target (12m)'!$B$16-'Calc - research target (12m)'!$B$13))-'Calc - research target (12m)'!$B$50-'Calc - research target (12m)'!$B$51+'Calc - research target (12m)'!$B$52)/'Calc - research target (12m)'!$B$53)</f>
        <v/>
      </c>
      <c r="D8" s="9">
        <f>IF($A8-D$4&lt;=0.01,"n/a",((SUMPRODUCT('Calc - research target (12m)'!$C$31:$E$31,'Calc - research target (12m)'!$C$35:$E$35,(1+$A8)^(-('Calc - research target (12m)'!$C$19:$E$19-'Calc - research target (12m)'!$B$13)))+'Calc - research target (12m)'!$E$31*(1+D$4)/($A8-D$4)/(1+$A8)^('Calc - research target (12m)'!$B$16-'Calc - research target (12m)'!$B$13))-'Calc - research target (12m)'!$B$50-'Calc - research target (12m)'!$B$51+'Calc - research target (12m)'!$B$52)/'Calc - research target (12m)'!$B$53)</f>
        <v/>
      </c>
      <c r="E8" s="9">
        <f>IF($A8-E$4&lt;=0.01,"n/a",((SUMPRODUCT('Calc - research target (12m)'!$C$31:$E$31,'Calc - research target (12m)'!$C$35:$E$35,(1+$A8)^(-('Calc - research target (12m)'!$C$19:$E$19-'Calc - research target (12m)'!$B$13)))+'Calc - research target (12m)'!$E$31*(1+E$4)/($A8-E$4)/(1+$A8)^('Calc - research target (12m)'!$B$16-'Calc - research target (12m)'!$B$13))-'Calc - research target (12m)'!$B$50-'Calc - research target (12m)'!$B$51+'Calc - research target (12m)'!$B$52)/'Calc - research target (12m)'!$B$53)</f>
        <v/>
      </c>
      <c r="F8" s="9">
        <f>IF($A8-F$4&lt;=0.01,"n/a",((SUMPRODUCT('Calc - research target (12m)'!$C$31:$E$31,'Calc - research target (12m)'!$C$35:$E$35,(1+$A8)^(-('Calc - research target (12m)'!$C$19:$E$19-'Calc - research target (12m)'!$B$13)))+'Calc - research target (12m)'!$E$31*(1+F$4)/($A8-F$4)/(1+$A8)^('Calc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9">
      <c r="A9" s="7">
        <f>Valuation!$B$52+(0.01)</f>
        <v/>
      </c>
      <c r="B9" s="9">
        <f>IF($A9-B$4&lt;=0.01,"n/a",((SUMPRODUCT('Calc - research target (12m)'!$C$31:$E$31,'Calc - research target (12m)'!$C$35:$E$35,(1+$A9)^(-('Calc - research target (12m)'!$C$19:$E$19-'Calc - research target (12m)'!$B$13)))+'Calc - research target (12m)'!$E$31*(1+B$4)/($A9-B$4)/(1+$A9)^('Calc - research target (12m)'!$B$16-'Calc - research target (12m)'!$B$13))-'Calc - research target (12m)'!$B$50-'Calc - research target (12m)'!$B$51+'Calc - research target (12m)'!$B$52)/'Calc - research target (12m)'!$B$53)</f>
        <v/>
      </c>
      <c r="C9" s="9">
        <f>IF($A9-C$4&lt;=0.01,"n/a",((SUMPRODUCT('Calc - research target (12m)'!$C$31:$E$31,'Calc - research target (12m)'!$C$35:$E$35,(1+$A9)^(-('Calc - research target (12m)'!$C$19:$E$19-'Calc - research target (12m)'!$B$13)))+'Calc - research target (12m)'!$E$31*(1+C$4)/($A9-C$4)/(1+$A9)^('Calc - research target (12m)'!$B$16-'Calc - research target (12m)'!$B$13))-'Calc - research target (12m)'!$B$50-'Calc - research target (12m)'!$B$51+'Calc - research target (12m)'!$B$52)/'Calc - research target (12m)'!$B$53)</f>
        <v/>
      </c>
      <c r="D9" s="9">
        <f>IF($A9-D$4&lt;=0.01,"n/a",((SUMPRODUCT('Calc - research target (12m)'!$C$31:$E$31,'Calc - research target (12m)'!$C$35:$E$35,(1+$A9)^(-('Calc - research target (12m)'!$C$19:$E$19-'Calc - research target (12m)'!$B$13)))+'Calc - research target (12m)'!$E$31*(1+D$4)/($A9-D$4)/(1+$A9)^('Calc - research target (12m)'!$B$16-'Calc - research target (12m)'!$B$13))-'Calc - research target (12m)'!$B$50-'Calc - research target (12m)'!$B$51+'Calc - research target (12m)'!$B$52)/'Calc - research target (12m)'!$B$53)</f>
        <v/>
      </c>
      <c r="E9" s="9">
        <f>IF($A9-E$4&lt;=0.01,"n/a",((SUMPRODUCT('Calc - research target (12m)'!$C$31:$E$31,'Calc - research target (12m)'!$C$35:$E$35,(1+$A9)^(-('Calc - research target (12m)'!$C$19:$E$19-'Calc - research target (12m)'!$B$13)))+'Calc - research target (12m)'!$E$31*(1+E$4)/($A9-E$4)/(1+$A9)^('Calc - research target (12m)'!$B$16-'Calc - research target (12m)'!$B$13))-'Calc - research target (12m)'!$B$50-'Calc - research target (12m)'!$B$51+'Calc - research target (12m)'!$B$52)/'Calc - research target (12m)'!$B$53)</f>
        <v/>
      </c>
      <c r="F9" s="9">
        <f>IF($A9-F$4&lt;=0.01,"n/a",((SUMPRODUCT('Calc - research target (12m)'!$C$31:$E$31,'Calc - research target (12m)'!$C$35:$E$35,(1+$A9)^(-('Calc - research target (12m)'!$C$19:$E$19-'Calc - research target (12m)'!$B$13)))+'Calc - research target (12m)'!$E$31*(1+F$4)/($A9-F$4)/(1+$A9)^('Calc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11">
      <c r="A11" s="21" t="inlineStr">
        <is>
          <t>Research target (12m) per share: EV/EBITDA multiple (down) x metric at target date (across)</t>
        </is>
      </c>
    </row>
    <row r="12">
      <c r="A12" s="21" t="inlineStr">
        <is>
          <t>Multiple \ metric</t>
        </is>
      </c>
      <c r="B12" s="27">
        <f>'Calc - research target (12m)'!$E$68*0.9</f>
        <v/>
      </c>
      <c r="C12" s="27">
        <f>'Calc - research target (12m)'!$E$68*0.95</f>
        <v/>
      </c>
      <c r="D12" s="27">
        <f>'Calc - research target (12m)'!$E$68*1.0</f>
        <v/>
      </c>
      <c r="E12" s="27">
        <f>'Calc - research target (12m)'!$E$68*1.05</f>
        <v/>
      </c>
      <c r="F12" s="27">
        <f>'Calc - research target (12m)'!$E$68*1.1</f>
        <v/>
      </c>
    </row>
    <row r="13">
      <c r="A13" s="45">
        <f>Valuation!$B$71+(-3)</f>
        <v/>
      </c>
      <c r="B13" s="9">
        <f>((SUMPRODUCT('Calc - research target (12m)'!$F$67:$F$70,'Calc - research target (12m)'!$G$67:$G$70)-'Calc - research target (12m)'!$F$68*'Calc - research target (12m)'!$G$68)+'Calc - research target (12m)'!$G$68*((($A13*B$12)-'Calc - research target (12m)'!$B$50-'Calc - research target (12m)'!$B$51+'Calc - research target (12m)'!$B$52)/'Calc - research target (12m)'!$B$53))/SUM('Calc - research target (12m)'!$G$67:$G$70)</f>
        <v/>
      </c>
      <c r="C13" s="9">
        <f>((SUMPRODUCT('Calc - research target (12m)'!$F$67:$F$70,'Calc - research target (12m)'!$G$67:$G$70)-'Calc - research target (12m)'!$F$68*'Calc - research target (12m)'!$G$68)+'Calc - research target (12m)'!$G$68*((($A13*C$12)-'Calc - research target (12m)'!$B$50-'Calc - research target (12m)'!$B$51+'Calc - research target (12m)'!$B$52)/'Calc - research target (12m)'!$B$53))/SUM('Calc - research target (12m)'!$G$67:$G$70)</f>
        <v/>
      </c>
      <c r="D13" s="9">
        <f>((SUMPRODUCT('Calc - research target (12m)'!$F$67:$F$70,'Calc - research target (12m)'!$G$67:$G$70)-'Calc - research target (12m)'!$F$68*'Calc - research target (12m)'!$G$68)+'Calc - research target (12m)'!$G$68*((($A13*D$12)-'Calc - research target (12m)'!$B$50-'Calc - research target (12m)'!$B$51+'Calc - research target (12m)'!$B$52)/'Calc - research target (12m)'!$B$53))/SUM('Calc - research target (12m)'!$G$67:$G$70)</f>
        <v/>
      </c>
      <c r="E13" s="9">
        <f>((SUMPRODUCT('Calc - research target (12m)'!$F$67:$F$70,'Calc - research target (12m)'!$G$67:$G$70)-'Calc - research target (12m)'!$F$68*'Calc - research target (12m)'!$G$68)+'Calc - research target (12m)'!$G$68*((($A13*E$12)-'Calc - research target (12m)'!$B$50-'Calc - research target (12m)'!$B$51+'Calc - research target (12m)'!$B$52)/'Calc - research target (12m)'!$B$53))/SUM('Calc - research target (12m)'!$G$67:$G$70)</f>
        <v/>
      </c>
      <c r="F13" s="9">
        <f>((SUMPRODUCT('Calc - research target (12m)'!$F$67:$F$70,'Calc - research target (12m)'!$G$67:$G$70)-'Calc - research target (12m)'!$F$68*'Calc - research target (12m)'!$G$68)+'Calc - research target (12m)'!$G$68*((($A13*F$12)-'Calc - research target (12m)'!$B$50-'Calc - research target (12m)'!$B$51+'Calc - research target (12m)'!$B$52)/'Calc - research target (12m)'!$B$53))/SUM('Calc - research target (12m)'!$G$67:$G$70)</f>
        <v/>
      </c>
    </row>
    <row r="14">
      <c r="A14" s="45">
        <f>Valuation!$B$71+(-2)</f>
        <v/>
      </c>
      <c r="B14" s="9">
        <f>((SUMPRODUCT('Calc - research target (12m)'!$F$67:$F$70,'Calc - research target (12m)'!$G$67:$G$70)-'Calc - research target (12m)'!$F$68*'Calc - research target (12m)'!$G$68)+'Calc - research target (12m)'!$G$68*((($A14*B$12)-'Calc - research target (12m)'!$B$50-'Calc - research target (12m)'!$B$51+'Calc - research target (12m)'!$B$52)/'Calc - research target (12m)'!$B$53))/SUM('Calc - research target (12m)'!$G$67:$G$70)</f>
        <v/>
      </c>
      <c r="C14" s="9">
        <f>((SUMPRODUCT('Calc - research target (12m)'!$F$67:$F$70,'Calc - research target (12m)'!$G$67:$G$70)-'Calc - research target (12m)'!$F$68*'Calc - research target (12m)'!$G$68)+'Calc - research target (12m)'!$G$68*((($A14*C$12)-'Calc - research target (12m)'!$B$50-'Calc - research target (12m)'!$B$51+'Calc - research target (12m)'!$B$52)/'Calc - research target (12m)'!$B$53))/SUM('Calc - research target (12m)'!$G$67:$G$70)</f>
        <v/>
      </c>
      <c r="D14" s="9">
        <f>((SUMPRODUCT('Calc - research target (12m)'!$F$67:$F$70,'Calc - research target (12m)'!$G$67:$G$70)-'Calc - research target (12m)'!$F$68*'Calc - research target (12m)'!$G$68)+'Calc - research target (12m)'!$G$68*((($A14*D$12)-'Calc - research target (12m)'!$B$50-'Calc - research target (12m)'!$B$51+'Calc - research target (12m)'!$B$52)/'Calc - research target (12m)'!$B$53))/SUM('Calc - research target (12m)'!$G$67:$G$70)</f>
        <v/>
      </c>
      <c r="E14" s="9">
        <f>((SUMPRODUCT('Calc - research target (12m)'!$F$67:$F$70,'Calc - research target (12m)'!$G$67:$G$70)-'Calc - research target (12m)'!$F$68*'Calc - research target (12m)'!$G$68)+'Calc - research target (12m)'!$G$68*((($A14*E$12)-'Calc - research target (12m)'!$B$50-'Calc - research target (12m)'!$B$51+'Calc - research target (12m)'!$B$52)/'Calc - research target (12m)'!$B$53))/SUM('Calc - research target (12m)'!$G$67:$G$70)</f>
        <v/>
      </c>
      <c r="F14" s="9">
        <f>((SUMPRODUCT('Calc - research target (12m)'!$F$67:$F$70,'Calc - research target (12m)'!$G$67:$G$70)-'Calc - research target (12m)'!$F$68*'Calc - research target (12m)'!$G$68)+'Calc - research target (12m)'!$G$68*((($A14*F$12)-'Calc - research target (12m)'!$B$50-'Calc - research target (12m)'!$B$51+'Calc - research target (12m)'!$B$52)/'Calc - research target (12m)'!$B$53))/SUM('Calc - research target (12m)'!$G$67:$G$70)</f>
        <v/>
      </c>
    </row>
    <row r="15">
      <c r="A15" s="45">
        <f>Valuation!$B$71+(-1)</f>
        <v/>
      </c>
      <c r="B15" s="9">
        <f>((SUMPRODUCT('Calc - research target (12m)'!$F$67:$F$70,'Calc - research target (12m)'!$G$67:$G$70)-'Calc - research target (12m)'!$F$68*'Calc - research target (12m)'!$G$68)+'Calc - research target (12m)'!$G$68*((($A15*B$12)-'Calc - research target (12m)'!$B$50-'Calc - research target (12m)'!$B$51+'Calc - research target (12m)'!$B$52)/'Calc - research target (12m)'!$B$53))/SUM('Calc - research target (12m)'!$G$67:$G$70)</f>
        <v/>
      </c>
      <c r="C15" s="9">
        <f>((SUMPRODUCT('Calc - research target (12m)'!$F$67:$F$70,'Calc - research target (12m)'!$G$67:$G$70)-'Calc - research target (12m)'!$F$68*'Calc - research target (12m)'!$G$68)+'Calc - research target (12m)'!$G$68*((($A15*C$12)-'Calc - research target (12m)'!$B$50-'Calc - research target (12m)'!$B$51+'Calc - research target (12m)'!$B$52)/'Calc - research target (12m)'!$B$53))/SUM('Calc - research target (12m)'!$G$67:$G$70)</f>
        <v/>
      </c>
      <c r="D15" s="9">
        <f>((SUMPRODUCT('Calc - research target (12m)'!$F$67:$F$70,'Calc - research target (12m)'!$G$67:$G$70)-'Calc - research target (12m)'!$F$68*'Calc - research target (12m)'!$G$68)+'Calc - research target (12m)'!$G$68*((($A15*D$12)-'Calc - research target (12m)'!$B$50-'Calc - research target (12m)'!$B$51+'Calc - research target (12m)'!$B$52)/'Calc - research target (12m)'!$B$53))/SUM('Calc - research target (12m)'!$G$67:$G$70)</f>
        <v/>
      </c>
      <c r="E15" s="9">
        <f>((SUMPRODUCT('Calc - research target (12m)'!$F$67:$F$70,'Calc - research target (12m)'!$G$67:$G$70)-'Calc - research target (12m)'!$F$68*'Calc - research target (12m)'!$G$68)+'Calc - research target (12m)'!$G$68*((($A15*E$12)-'Calc - research target (12m)'!$B$50-'Calc - research target (12m)'!$B$51+'Calc - research target (12m)'!$B$52)/'Calc - research target (12m)'!$B$53))/SUM('Calc - research target (12m)'!$G$67:$G$70)</f>
        <v/>
      </c>
      <c r="F15" s="9">
        <f>((SUMPRODUCT('Calc - research target (12m)'!$F$67:$F$70,'Calc - research target (12m)'!$G$67:$G$70)-'Calc - research target (12m)'!$F$68*'Calc - research target (12m)'!$G$68)+'Calc - research target (12m)'!$G$68*((($A15*F$12)-'Calc - research target (12m)'!$B$50-'Calc - research target (12m)'!$B$51+'Calc - research target (12m)'!$B$52)/'Calc - research target (12m)'!$B$53))/SUM('Calc - research target (12m)'!$G$67:$G$70)</f>
        <v/>
      </c>
    </row>
    <row r="16">
      <c r="A16" s="45">
        <f>Valuation!$B$71+(0)</f>
        <v/>
      </c>
      <c r="B16" s="9">
        <f>((SUMPRODUCT('Calc - research target (12m)'!$F$67:$F$70,'Calc - research target (12m)'!$G$67:$G$70)-'Calc - research target (12m)'!$F$68*'Calc - research target (12m)'!$G$68)+'Calc - research target (12m)'!$G$68*((($A16*B$12)-'Calc - research target (12m)'!$B$50-'Calc - research target (12m)'!$B$51+'Calc - research target (12m)'!$B$52)/'Calc - research target (12m)'!$B$53))/SUM('Calc - research target (12m)'!$G$67:$G$70)</f>
        <v/>
      </c>
      <c r="C16" s="9">
        <f>((SUMPRODUCT('Calc - research target (12m)'!$F$67:$F$70,'Calc - research target (12m)'!$G$67:$G$70)-'Calc - research target (12m)'!$F$68*'Calc - research target (12m)'!$G$68)+'Calc - research target (12m)'!$G$68*((($A16*C$12)-'Calc - research target (12m)'!$B$50-'Calc - research target (12m)'!$B$51+'Calc - research target (12m)'!$B$52)/'Calc - research target (12m)'!$B$53))/SUM('Calc - research target (12m)'!$G$67:$G$70)</f>
        <v/>
      </c>
      <c r="D16" s="6">
        <f>((SUMPRODUCT('Calc - research target (12m)'!$F$67:$F$70,'Calc - research target (12m)'!$G$67:$G$70)-'Calc - research target (12m)'!$F$68*'Calc - research target (12m)'!$G$68)+'Calc - research target (12m)'!$G$68*((($A16*D$12)-'Calc - research target (12m)'!$B$50-'Calc - research target (12m)'!$B$51+'Calc - research target (12m)'!$B$52)/'Calc - research target (12m)'!$B$53))/SUM('Calc - research target (12m)'!$G$67:$G$70)</f>
        <v/>
      </c>
      <c r="E16" s="9">
        <f>((SUMPRODUCT('Calc - research target (12m)'!$F$67:$F$70,'Calc - research target (12m)'!$G$67:$G$70)-'Calc - research target (12m)'!$F$68*'Calc - research target (12m)'!$G$68)+'Calc - research target (12m)'!$G$68*((($A16*E$12)-'Calc - research target (12m)'!$B$50-'Calc - research target (12m)'!$B$51+'Calc - research target (12m)'!$B$52)/'Calc - research target (12m)'!$B$53))/SUM('Calc - research target (12m)'!$G$67:$G$70)</f>
        <v/>
      </c>
      <c r="F16" s="9">
        <f>((SUMPRODUCT('Calc - research target (12m)'!$F$67:$F$70,'Calc - research target (12m)'!$G$67:$G$70)-'Calc - research target (12m)'!$F$68*'Calc - research target (12m)'!$G$68)+'Calc - research target (12m)'!$G$68*((($A16*F$12)-'Calc - research target (12m)'!$B$50-'Calc - research target (12m)'!$B$51+'Calc - research target (12m)'!$B$52)/'Calc - research target (12m)'!$B$53))/SUM('Calc - research target (12m)'!$G$67:$G$70)</f>
        <v/>
      </c>
    </row>
    <row r="17">
      <c r="A17" s="45">
        <f>Valuation!$B$71+(1)</f>
        <v/>
      </c>
      <c r="B17" s="9">
        <f>((SUMPRODUCT('Calc - research target (12m)'!$F$67:$F$70,'Calc - research target (12m)'!$G$67:$G$70)-'Calc - research target (12m)'!$F$68*'Calc - research target (12m)'!$G$68)+'Calc - research target (12m)'!$G$68*((($A17*B$12)-'Calc - research target (12m)'!$B$50-'Calc - research target (12m)'!$B$51+'Calc - research target (12m)'!$B$52)/'Calc - research target (12m)'!$B$53))/SUM('Calc - research target (12m)'!$G$67:$G$70)</f>
        <v/>
      </c>
      <c r="C17" s="9">
        <f>((SUMPRODUCT('Calc - research target (12m)'!$F$67:$F$70,'Calc - research target (12m)'!$G$67:$G$70)-'Calc - research target (12m)'!$F$68*'Calc - research target (12m)'!$G$68)+'Calc - research target (12m)'!$G$68*((($A17*C$12)-'Calc - research target (12m)'!$B$50-'Calc - research target (12m)'!$B$51+'Calc - research target (12m)'!$B$52)/'Calc - research target (12m)'!$B$53))/SUM('Calc - research target (12m)'!$G$67:$G$70)</f>
        <v/>
      </c>
      <c r="D17" s="9">
        <f>((SUMPRODUCT('Calc - research target (12m)'!$F$67:$F$70,'Calc - research target (12m)'!$G$67:$G$70)-'Calc - research target (12m)'!$F$68*'Calc - research target (12m)'!$G$68)+'Calc - research target (12m)'!$G$68*((($A17*D$12)-'Calc - research target (12m)'!$B$50-'Calc - research target (12m)'!$B$51+'Calc - research target (12m)'!$B$52)/'Calc - research target (12m)'!$B$53))/SUM('Calc - research target (12m)'!$G$67:$G$70)</f>
        <v/>
      </c>
      <c r="E17" s="9">
        <f>((SUMPRODUCT('Calc - research target (12m)'!$F$67:$F$70,'Calc - research target (12m)'!$G$67:$G$70)-'Calc - research target (12m)'!$F$68*'Calc - research target (12m)'!$G$68)+'Calc - research target (12m)'!$G$68*((($A17*E$12)-'Calc - research target (12m)'!$B$50-'Calc - research target (12m)'!$B$51+'Calc - research target (12m)'!$B$52)/'Calc - research target (12m)'!$B$53))/SUM('Calc - research target (12m)'!$G$67:$G$70)</f>
        <v/>
      </c>
      <c r="F17" s="9">
        <f>((SUMPRODUCT('Calc - research target (12m)'!$F$67:$F$70,'Calc - research target (12m)'!$G$67:$G$70)-'Calc - research target (12m)'!$F$68*'Calc - research target (12m)'!$G$68)+'Calc - research target (12m)'!$G$68*((($A17*F$12)-'Calc - research target (12m)'!$B$50-'Calc - research target (12m)'!$B$51+'Calc - research target (12m)'!$B$52)/'Calc - research target (12m)'!$B$53))/SUM('Calc - research target (12m)'!$G$67:$G$70)</f>
        <v/>
      </c>
    </row>
    <row r="18">
      <c r="A18" s="45">
        <f>Valuation!$B$71+(2)</f>
        <v/>
      </c>
      <c r="B18" s="9">
        <f>((SUMPRODUCT('Calc - research target (12m)'!$F$67:$F$70,'Calc - research target (12m)'!$G$67:$G$70)-'Calc - research target (12m)'!$F$68*'Calc - research target (12m)'!$G$68)+'Calc - research target (12m)'!$G$68*((($A18*B$12)-'Calc - research target (12m)'!$B$50-'Calc - research target (12m)'!$B$51+'Calc - research target (12m)'!$B$52)/'Calc - research target (12m)'!$B$53))/SUM('Calc - research target (12m)'!$G$67:$G$70)</f>
        <v/>
      </c>
      <c r="C18" s="9">
        <f>((SUMPRODUCT('Calc - research target (12m)'!$F$67:$F$70,'Calc - research target (12m)'!$G$67:$G$70)-'Calc - research target (12m)'!$F$68*'Calc - research target (12m)'!$G$68)+'Calc - research target (12m)'!$G$68*((($A18*C$12)-'Calc - research target (12m)'!$B$50-'Calc - research target (12m)'!$B$51+'Calc - research target (12m)'!$B$52)/'Calc - research target (12m)'!$B$53))/SUM('Calc - research target (12m)'!$G$67:$G$70)</f>
        <v/>
      </c>
      <c r="D18" s="9">
        <f>((SUMPRODUCT('Calc - research target (12m)'!$F$67:$F$70,'Calc - research target (12m)'!$G$67:$G$70)-'Calc - research target (12m)'!$F$68*'Calc - research target (12m)'!$G$68)+'Calc - research target (12m)'!$G$68*((($A18*D$12)-'Calc - research target (12m)'!$B$50-'Calc - research target (12m)'!$B$51+'Calc - research target (12m)'!$B$52)/'Calc - research target (12m)'!$B$53))/SUM('Calc - research target (12m)'!$G$67:$G$70)</f>
        <v/>
      </c>
      <c r="E18" s="9">
        <f>((SUMPRODUCT('Calc - research target (12m)'!$F$67:$F$70,'Calc - research target (12m)'!$G$67:$G$70)-'Calc - research target (12m)'!$F$68*'Calc - research target (12m)'!$G$68)+'Calc - research target (12m)'!$G$68*((($A18*E$12)-'Calc - research target (12m)'!$B$50-'Calc - research target (12m)'!$B$51+'Calc - research target (12m)'!$B$52)/'Calc - research target (12m)'!$B$53))/SUM('Calc - research target (12m)'!$G$67:$G$70)</f>
        <v/>
      </c>
      <c r="F18" s="9">
        <f>((SUMPRODUCT('Calc - research target (12m)'!$F$67:$F$70,'Calc - research target (12m)'!$G$67:$G$70)-'Calc - research target (12m)'!$F$68*'Calc - research target (12m)'!$G$68)+'Calc - research target (12m)'!$G$68*((($A18*F$12)-'Calc - research target (12m)'!$B$50-'Calc - research target (12m)'!$B$51+'Calc - research target (12m)'!$B$52)/'Calc - research target (12m)'!$B$53))/SUM('Calc - research target (12m)'!$G$67:$G$70)</f>
        <v/>
      </c>
    </row>
    <row r="19">
      <c r="A19" s="45">
        <f>Valuation!$B$71+(3)</f>
        <v/>
      </c>
      <c r="B19" s="9">
        <f>((SUMPRODUCT('Calc - research target (12m)'!$F$67:$F$70,'Calc - research target (12m)'!$G$67:$G$70)-'Calc - research target (12m)'!$F$68*'Calc - research target (12m)'!$G$68)+'Calc - research target (12m)'!$G$68*((($A19*B$12)-'Calc - research target (12m)'!$B$50-'Calc - research target (12m)'!$B$51+'Calc - research target (12m)'!$B$52)/'Calc - research target (12m)'!$B$53))/SUM('Calc - research target (12m)'!$G$67:$G$70)</f>
        <v/>
      </c>
      <c r="C19" s="9">
        <f>((SUMPRODUCT('Calc - research target (12m)'!$F$67:$F$70,'Calc - research target (12m)'!$G$67:$G$70)-'Calc - research target (12m)'!$F$68*'Calc - research target (12m)'!$G$68)+'Calc - research target (12m)'!$G$68*((($A19*C$12)-'Calc - research target (12m)'!$B$50-'Calc - research target (12m)'!$B$51+'Calc - research target (12m)'!$B$52)/'Calc - research target (12m)'!$B$53))/SUM('Calc - research target (12m)'!$G$67:$G$70)</f>
        <v/>
      </c>
      <c r="D19" s="9">
        <f>((SUMPRODUCT('Calc - research target (12m)'!$F$67:$F$70,'Calc - research target (12m)'!$G$67:$G$70)-'Calc - research target (12m)'!$F$68*'Calc - research target (12m)'!$G$68)+'Calc - research target (12m)'!$G$68*((($A19*D$12)-'Calc - research target (12m)'!$B$50-'Calc - research target (12m)'!$B$51+'Calc - research target (12m)'!$B$52)/'Calc - research target (12m)'!$B$53))/SUM('Calc - research target (12m)'!$G$67:$G$70)</f>
        <v/>
      </c>
      <c r="E19" s="9">
        <f>((SUMPRODUCT('Calc - research target (12m)'!$F$67:$F$70,'Calc - research target (12m)'!$G$67:$G$70)-'Calc - research target (12m)'!$F$68*'Calc - research target (12m)'!$G$68)+'Calc - research target (12m)'!$G$68*((($A19*E$12)-'Calc - research target (12m)'!$B$50-'Calc - research target (12m)'!$B$51+'Calc - research target (12m)'!$B$52)/'Calc - research target (12m)'!$B$53))/SUM('Calc - research target (12m)'!$G$67:$G$70)</f>
        <v/>
      </c>
      <c r="F19" s="9">
        <f>((SUMPRODUCT('Calc - research target (12m)'!$F$67:$F$70,'Calc - research target (12m)'!$G$67:$G$70)-'Calc - research target (12m)'!$F$68*'Calc - research target (12m)'!$G$68)+'Calc - research target (12m)'!$G$68*((($A19*F$12)-'Calc - research target (12m)'!$B$50-'Calc - research target (12m)'!$B$51+'Calc - research target (12m)'!$B$52)/'Calc - research target (12m)'!$B$53))/SUM('Calc - research target (12m)'!$G$67:$G$70)</f>
        <v/>
      </c>
    </row>
    <row r="22">
      <c r="A22" s="21" t="inlineStr">
        <is>
          <t>FY2027E diluted EPS: revenue growth change in every year (down) x EBIT margin change (across)</t>
        </is>
      </c>
    </row>
    <row r="23">
      <c r="A23" s="21" t="inlineStr">
        <is>
          <t>Growth Δ \ margin Δ</t>
        </is>
      </c>
      <c r="B23" s="46" t="n">
        <v>-0.01</v>
      </c>
      <c r="C23" s="46" t="n">
        <v>-0.005</v>
      </c>
      <c r="D23" s="46" t="n">
        <v>0</v>
      </c>
      <c r="E23" s="46" t="n">
        <v>0.005</v>
      </c>
      <c r="F23" s="46" t="n">
        <v>0.01</v>
      </c>
    </row>
    <row r="24">
      <c r="A24" s="46" t="n">
        <v>-0.02</v>
      </c>
      <c r="B24" s="31">
        <f>(Valuation!$B$91*(1+Model!E12+$A24)*(1+Model!F12+$A24)*(Model!F14+B$23)+Valuation!$B$92*(1+Model!E16+$A24)*(1+Model!F16+$A24)*(Model!F18+B$23)+Valuation!$B$93*(1+Model!E20+$A24)*(1+Model!F20+$A24)*(Model!F22+B$23)+Valuation!$B$94*(1+Model!E24+$A24)*(1+Model!F24+$A24)*(Model!F26+B$23)+Valuation!$B$95*(1+Model!E28+$A24)*(1+Model!F28+$A24)*(Model!F30+B$23)+Model!F33+Model!F45)*(1-Model!F75)/Model!F52</f>
        <v/>
      </c>
      <c r="C24" s="31">
        <f>(Valuation!$B$91*(1+Model!E12+$A24)*(1+Model!F12+$A24)*(Model!F14+C$23)+Valuation!$B$92*(1+Model!E16+$A24)*(1+Model!F16+$A24)*(Model!F18+C$23)+Valuation!$B$93*(1+Model!E20+$A24)*(1+Model!F20+$A24)*(Model!F22+C$23)+Valuation!$B$94*(1+Model!E24+$A24)*(1+Model!F24+$A24)*(Model!F26+C$23)+Valuation!$B$95*(1+Model!E28+$A24)*(1+Model!F28+$A24)*(Model!F30+C$23)+Model!F33+Model!F45)*(1-Model!F75)/Model!F52</f>
        <v/>
      </c>
      <c r="D24" s="31">
        <f>(Valuation!$B$91*(1+Model!E12+$A24)*(1+Model!F12+$A24)*(Model!F14+D$23)+Valuation!$B$92*(1+Model!E16+$A24)*(1+Model!F16+$A24)*(Model!F18+D$23)+Valuation!$B$93*(1+Model!E20+$A24)*(1+Model!F20+$A24)*(Model!F22+D$23)+Valuation!$B$94*(1+Model!E24+$A24)*(1+Model!F24+$A24)*(Model!F26+D$23)+Valuation!$B$95*(1+Model!E28+$A24)*(1+Model!F28+$A24)*(Model!F30+D$23)+Model!F33+Model!F45)*(1-Model!F75)/Model!F52</f>
        <v/>
      </c>
      <c r="E24" s="31">
        <f>(Valuation!$B$91*(1+Model!E12+$A24)*(1+Model!F12+$A24)*(Model!F14+E$23)+Valuation!$B$92*(1+Model!E16+$A24)*(1+Model!F16+$A24)*(Model!F18+E$23)+Valuation!$B$93*(1+Model!E20+$A24)*(1+Model!F20+$A24)*(Model!F22+E$23)+Valuation!$B$94*(1+Model!E24+$A24)*(1+Model!F24+$A24)*(Model!F26+E$23)+Valuation!$B$95*(1+Model!E28+$A24)*(1+Model!F28+$A24)*(Model!F30+E$23)+Model!F33+Model!F45)*(1-Model!F75)/Model!F52</f>
        <v/>
      </c>
      <c r="F24" s="31">
        <f>(Valuation!$B$91*(1+Model!E12+$A24)*(1+Model!F12+$A24)*(Model!F14+F$23)+Valuation!$B$92*(1+Model!E16+$A24)*(1+Model!F16+$A24)*(Model!F18+F$23)+Valuation!$B$93*(1+Model!E20+$A24)*(1+Model!F20+$A24)*(Model!F22+F$23)+Valuation!$B$94*(1+Model!E24+$A24)*(1+Model!F24+$A24)*(Model!F26+F$23)+Valuation!$B$95*(1+Model!E28+$A24)*(1+Model!F28+$A24)*(Model!F30+F$23)+Model!F33+Model!F45)*(1-Model!F75)/Model!F52</f>
        <v/>
      </c>
    </row>
    <row r="25">
      <c r="A25" s="46" t="n">
        <v>-0.01</v>
      </c>
      <c r="B25" s="31">
        <f>(Valuation!$B$91*(1+Model!E12+$A25)*(1+Model!F12+$A25)*(Model!F14+B$23)+Valuation!$B$92*(1+Model!E16+$A25)*(1+Model!F16+$A25)*(Model!F18+B$23)+Valuation!$B$93*(1+Model!E20+$A25)*(1+Model!F20+$A25)*(Model!F22+B$23)+Valuation!$B$94*(1+Model!E24+$A25)*(1+Model!F24+$A25)*(Model!F26+B$23)+Valuation!$B$95*(1+Model!E28+$A25)*(1+Model!F28+$A25)*(Model!F30+B$23)+Model!F33+Model!F45)*(1-Model!F75)/Model!F52</f>
        <v/>
      </c>
      <c r="C25" s="31">
        <f>(Valuation!$B$91*(1+Model!E12+$A25)*(1+Model!F12+$A25)*(Model!F14+C$23)+Valuation!$B$92*(1+Model!E16+$A25)*(1+Model!F16+$A25)*(Model!F18+C$23)+Valuation!$B$93*(1+Model!E20+$A25)*(1+Model!F20+$A25)*(Model!F22+C$23)+Valuation!$B$94*(1+Model!E24+$A25)*(1+Model!F24+$A25)*(Model!F26+C$23)+Valuation!$B$95*(1+Model!E28+$A25)*(1+Model!F28+$A25)*(Model!F30+C$23)+Model!F33+Model!F45)*(1-Model!F75)/Model!F52</f>
        <v/>
      </c>
      <c r="D25" s="31">
        <f>(Valuation!$B$91*(1+Model!E12+$A25)*(1+Model!F12+$A25)*(Model!F14+D$23)+Valuation!$B$92*(1+Model!E16+$A25)*(1+Model!F16+$A25)*(Model!F18+D$23)+Valuation!$B$93*(1+Model!E20+$A25)*(1+Model!F20+$A25)*(Model!F22+D$23)+Valuation!$B$94*(1+Model!E24+$A25)*(1+Model!F24+$A25)*(Model!F26+D$23)+Valuation!$B$95*(1+Model!E28+$A25)*(1+Model!F28+$A25)*(Model!F30+D$23)+Model!F33+Model!F45)*(1-Model!F75)/Model!F52</f>
        <v/>
      </c>
      <c r="E25" s="31">
        <f>(Valuation!$B$91*(1+Model!E12+$A25)*(1+Model!F12+$A25)*(Model!F14+E$23)+Valuation!$B$92*(1+Model!E16+$A25)*(1+Model!F16+$A25)*(Model!F18+E$23)+Valuation!$B$93*(1+Model!E20+$A25)*(1+Model!F20+$A25)*(Model!F22+E$23)+Valuation!$B$94*(1+Model!E24+$A25)*(1+Model!F24+$A25)*(Model!F26+E$23)+Valuation!$B$95*(1+Model!E28+$A25)*(1+Model!F28+$A25)*(Model!F30+E$23)+Model!F33+Model!F45)*(1-Model!F75)/Model!F52</f>
        <v/>
      </c>
      <c r="F25" s="31">
        <f>(Valuation!$B$91*(1+Model!E12+$A25)*(1+Model!F12+$A25)*(Model!F14+F$23)+Valuation!$B$92*(1+Model!E16+$A25)*(1+Model!F16+$A25)*(Model!F18+F$23)+Valuation!$B$93*(1+Model!E20+$A25)*(1+Model!F20+$A25)*(Model!F22+F$23)+Valuation!$B$94*(1+Model!E24+$A25)*(1+Model!F24+$A25)*(Model!F26+F$23)+Valuation!$B$95*(1+Model!E28+$A25)*(1+Model!F28+$A25)*(Model!F30+F$23)+Model!F33+Model!F45)*(1-Model!F75)/Model!F52</f>
        <v/>
      </c>
    </row>
    <row r="26">
      <c r="A26" s="46" t="n">
        <v>0</v>
      </c>
      <c r="B26" s="31">
        <f>(Valuation!$B$91*(1+Model!E12+$A26)*(1+Model!F12+$A26)*(Model!F14+B$23)+Valuation!$B$92*(1+Model!E16+$A26)*(1+Model!F16+$A26)*(Model!F18+B$23)+Valuation!$B$93*(1+Model!E20+$A26)*(1+Model!F20+$A26)*(Model!F22+B$23)+Valuation!$B$94*(1+Model!E24+$A26)*(1+Model!F24+$A26)*(Model!F26+B$23)+Valuation!$B$95*(1+Model!E28+$A26)*(1+Model!F28+$A26)*(Model!F30+B$23)+Model!F33+Model!F45)*(1-Model!F75)/Model!F52</f>
        <v/>
      </c>
      <c r="C26" s="31">
        <f>(Valuation!$B$91*(1+Model!E12+$A26)*(1+Model!F12+$A26)*(Model!F14+C$23)+Valuation!$B$92*(1+Model!E16+$A26)*(1+Model!F16+$A26)*(Model!F18+C$23)+Valuation!$B$93*(1+Model!E20+$A26)*(1+Model!F20+$A26)*(Model!F22+C$23)+Valuation!$B$94*(1+Model!E24+$A26)*(1+Model!F24+$A26)*(Model!F26+C$23)+Valuation!$B$95*(1+Model!E28+$A26)*(1+Model!F28+$A26)*(Model!F30+C$23)+Model!F33+Model!F45)*(1-Model!F75)/Model!F52</f>
        <v/>
      </c>
      <c r="D26" s="32">
        <f>(Valuation!$B$91*(1+Model!E12+$A26)*(1+Model!F12+$A26)*(Model!F14+D$23)+Valuation!$B$92*(1+Model!E16+$A26)*(1+Model!F16+$A26)*(Model!F18+D$23)+Valuation!$B$93*(1+Model!E20+$A26)*(1+Model!F20+$A26)*(Model!F22+D$23)+Valuation!$B$94*(1+Model!E24+$A26)*(1+Model!F24+$A26)*(Model!F26+D$23)+Valuation!$B$95*(1+Model!E28+$A26)*(1+Model!F28+$A26)*(Model!F30+D$23)+Model!F33+Model!F45)*(1-Model!F75)/Model!F52</f>
        <v/>
      </c>
      <c r="E26" s="31">
        <f>(Valuation!$B$91*(1+Model!E12+$A26)*(1+Model!F12+$A26)*(Model!F14+E$23)+Valuation!$B$92*(1+Model!E16+$A26)*(1+Model!F16+$A26)*(Model!F18+E$23)+Valuation!$B$93*(1+Model!E20+$A26)*(1+Model!F20+$A26)*(Model!F22+E$23)+Valuation!$B$94*(1+Model!E24+$A26)*(1+Model!F24+$A26)*(Model!F26+E$23)+Valuation!$B$95*(1+Model!E28+$A26)*(1+Model!F28+$A26)*(Model!F30+E$23)+Model!F33+Model!F45)*(1-Model!F75)/Model!F52</f>
        <v/>
      </c>
      <c r="F26" s="31">
        <f>(Valuation!$B$91*(1+Model!E12+$A26)*(1+Model!F12+$A26)*(Model!F14+F$23)+Valuation!$B$92*(1+Model!E16+$A26)*(1+Model!F16+$A26)*(Model!F18+F$23)+Valuation!$B$93*(1+Model!E20+$A26)*(1+Model!F20+$A26)*(Model!F22+F$23)+Valuation!$B$94*(1+Model!E24+$A26)*(1+Model!F24+$A26)*(Model!F26+F$23)+Valuation!$B$95*(1+Model!E28+$A26)*(1+Model!F28+$A26)*(Model!F30+F$23)+Model!F33+Model!F45)*(1-Model!F75)/Model!F52</f>
        <v/>
      </c>
    </row>
    <row r="27">
      <c r="A27" s="46" t="n">
        <v>0.01</v>
      </c>
      <c r="B27" s="31">
        <f>(Valuation!$B$91*(1+Model!E12+$A27)*(1+Model!F12+$A27)*(Model!F14+B$23)+Valuation!$B$92*(1+Model!E16+$A27)*(1+Model!F16+$A27)*(Model!F18+B$23)+Valuation!$B$93*(1+Model!E20+$A27)*(1+Model!F20+$A27)*(Model!F22+B$23)+Valuation!$B$94*(1+Model!E24+$A27)*(1+Model!F24+$A27)*(Model!F26+B$23)+Valuation!$B$95*(1+Model!E28+$A27)*(1+Model!F28+$A27)*(Model!F30+B$23)+Model!F33+Model!F45)*(1-Model!F75)/Model!F52</f>
        <v/>
      </c>
      <c r="C27" s="31">
        <f>(Valuation!$B$91*(1+Model!E12+$A27)*(1+Model!F12+$A27)*(Model!F14+C$23)+Valuation!$B$92*(1+Model!E16+$A27)*(1+Model!F16+$A27)*(Model!F18+C$23)+Valuation!$B$93*(1+Model!E20+$A27)*(1+Model!F20+$A27)*(Model!F22+C$23)+Valuation!$B$94*(1+Model!E24+$A27)*(1+Model!F24+$A27)*(Model!F26+C$23)+Valuation!$B$95*(1+Model!E28+$A27)*(1+Model!F28+$A27)*(Model!F30+C$23)+Model!F33+Model!F45)*(1-Model!F75)/Model!F52</f>
        <v/>
      </c>
      <c r="D27" s="31">
        <f>(Valuation!$B$91*(1+Model!E12+$A27)*(1+Model!F12+$A27)*(Model!F14+D$23)+Valuation!$B$92*(1+Model!E16+$A27)*(1+Model!F16+$A27)*(Model!F18+D$23)+Valuation!$B$93*(1+Model!E20+$A27)*(1+Model!F20+$A27)*(Model!F22+D$23)+Valuation!$B$94*(1+Model!E24+$A27)*(1+Model!F24+$A27)*(Model!F26+D$23)+Valuation!$B$95*(1+Model!E28+$A27)*(1+Model!F28+$A27)*(Model!F30+D$23)+Model!F33+Model!F45)*(1-Model!F75)/Model!F52</f>
        <v/>
      </c>
      <c r="E27" s="31">
        <f>(Valuation!$B$91*(1+Model!E12+$A27)*(1+Model!F12+$A27)*(Model!F14+E$23)+Valuation!$B$92*(1+Model!E16+$A27)*(1+Model!F16+$A27)*(Model!F18+E$23)+Valuation!$B$93*(1+Model!E20+$A27)*(1+Model!F20+$A27)*(Model!F22+E$23)+Valuation!$B$94*(1+Model!E24+$A27)*(1+Model!F24+$A27)*(Model!F26+E$23)+Valuation!$B$95*(1+Model!E28+$A27)*(1+Model!F28+$A27)*(Model!F30+E$23)+Model!F33+Model!F45)*(1-Model!F75)/Model!F52</f>
        <v/>
      </c>
      <c r="F27" s="31">
        <f>(Valuation!$B$91*(1+Model!E12+$A27)*(1+Model!F12+$A27)*(Model!F14+F$23)+Valuation!$B$92*(1+Model!E16+$A27)*(1+Model!F16+$A27)*(Model!F18+F$23)+Valuation!$B$93*(1+Model!E20+$A27)*(1+Model!F20+$A27)*(Model!F22+F$23)+Valuation!$B$94*(1+Model!E24+$A27)*(1+Model!F24+$A27)*(Model!F26+F$23)+Valuation!$B$95*(1+Model!E28+$A27)*(1+Model!F28+$A27)*(Model!F30+F$23)+Model!F33+Model!F45)*(1-Model!F75)/Model!F52</f>
        <v/>
      </c>
    </row>
    <row r="28">
      <c r="A28" s="46" t="n">
        <v>0.02</v>
      </c>
      <c r="B28" s="31">
        <f>(Valuation!$B$91*(1+Model!E12+$A28)*(1+Model!F12+$A28)*(Model!F14+B$23)+Valuation!$B$92*(1+Model!E16+$A28)*(1+Model!F16+$A28)*(Model!F18+B$23)+Valuation!$B$93*(1+Model!E20+$A28)*(1+Model!F20+$A28)*(Model!F22+B$23)+Valuation!$B$94*(1+Model!E24+$A28)*(1+Model!F24+$A28)*(Model!F26+B$23)+Valuation!$B$95*(1+Model!E28+$A28)*(1+Model!F28+$A28)*(Model!F30+B$23)+Model!F33+Model!F45)*(1-Model!F75)/Model!F52</f>
        <v/>
      </c>
      <c r="C28" s="31">
        <f>(Valuation!$B$91*(1+Model!E12+$A28)*(1+Model!F12+$A28)*(Model!F14+C$23)+Valuation!$B$92*(1+Model!E16+$A28)*(1+Model!F16+$A28)*(Model!F18+C$23)+Valuation!$B$93*(1+Model!E20+$A28)*(1+Model!F20+$A28)*(Model!F22+C$23)+Valuation!$B$94*(1+Model!E24+$A28)*(1+Model!F24+$A28)*(Model!F26+C$23)+Valuation!$B$95*(1+Model!E28+$A28)*(1+Model!F28+$A28)*(Model!F30+C$23)+Model!F33+Model!F45)*(1-Model!F75)/Model!F52</f>
        <v/>
      </c>
      <c r="D28" s="31">
        <f>(Valuation!$B$91*(1+Model!E12+$A28)*(1+Model!F12+$A28)*(Model!F14+D$23)+Valuation!$B$92*(1+Model!E16+$A28)*(1+Model!F16+$A28)*(Model!F18+D$23)+Valuation!$B$93*(1+Model!E20+$A28)*(1+Model!F20+$A28)*(Model!F22+D$23)+Valuation!$B$94*(1+Model!E24+$A28)*(1+Model!F24+$A28)*(Model!F26+D$23)+Valuation!$B$95*(1+Model!E28+$A28)*(1+Model!F28+$A28)*(Model!F30+D$23)+Model!F33+Model!F45)*(1-Model!F75)/Model!F52</f>
        <v/>
      </c>
      <c r="E28" s="31">
        <f>(Valuation!$B$91*(1+Model!E12+$A28)*(1+Model!F12+$A28)*(Model!F14+E$23)+Valuation!$B$92*(1+Model!E16+$A28)*(1+Model!F16+$A28)*(Model!F18+E$23)+Valuation!$B$93*(1+Model!E20+$A28)*(1+Model!F20+$A28)*(Model!F22+E$23)+Valuation!$B$94*(1+Model!E24+$A28)*(1+Model!F24+$A28)*(Model!F26+E$23)+Valuation!$B$95*(1+Model!E28+$A28)*(1+Model!F28+$A28)*(Model!F30+E$23)+Model!F33+Model!F45)*(1-Model!F75)/Model!F52</f>
        <v/>
      </c>
      <c r="F28" s="31">
        <f>(Valuation!$B$91*(1+Model!E12+$A28)*(1+Model!F12+$A28)*(Model!F14+F$23)+Valuation!$B$92*(1+Model!E16+$A28)*(1+Model!F16+$A28)*(Model!F18+F$23)+Valuation!$B$93*(1+Model!E20+$A28)*(1+Model!F20+$A28)*(Model!F22+F$23)+Valuation!$B$94*(1+Model!E24+$A28)*(1+Model!F24+$A28)*(Model!F26+F$23)+Valuation!$B$95*(1+Model!E28+$A28)*(1+Model!F28+$A28)*(Model!F30+F$23)+Model!F33+Model!F45)*(1-Model!F75)/Model!F52</f>
        <v/>
      </c>
    </row>
    <row r="30">
      <c r="A30" s="2" t="inlineStr">
        <is>
          <t>Net interest and the share count are held at the base case in table 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6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T: 12-month distribution (mix of lognormals around each scenario value)</t>
        </is>
      </c>
    </row>
    <row r="3">
      <c r="A3" s="3" t="inlineStr">
        <is>
          <t>Scenario</t>
        </is>
      </c>
      <c r="B3" s="3" t="inlineStr">
        <is>
          <t>Probability</t>
        </is>
      </c>
      <c r="C3" s="3" t="inlineStr">
        <is>
          <t>Value at target date</t>
        </is>
      </c>
      <c r="D3" s="3" t="inlineStr">
        <is>
          <t>Story</t>
        </is>
      </c>
    </row>
    <row r="4">
      <c r="A4" t="inlineStr">
        <is>
          <t>bear</t>
        </is>
      </c>
      <c r="B4" s="12">
        <f>Valuation!B86</f>
        <v/>
      </c>
      <c r="C4" s="4">
        <f>'Calc - bear'!$F$71</f>
        <v/>
      </c>
      <c r="D4">
        <f>Valuation!J86</f>
        <v/>
      </c>
    </row>
    <row r="5">
      <c r="A5" t="inlineStr">
        <is>
          <t>base</t>
        </is>
      </c>
      <c r="B5" s="12">
        <f>Valuation!B87</f>
        <v/>
      </c>
      <c r="C5" s="4">
        <f>'Calc - base'!$F$71</f>
        <v/>
      </c>
      <c r="D5">
        <f>Valuation!J87</f>
        <v/>
      </c>
    </row>
    <row r="6">
      <c r="A6" t="inlineStr">
        <is>
          <t>bull</t>
        </is>
      </c>
      <c r="B6" s="12">
        <f>Valuation!B88</f>
        <v/>
      </c>
      <c r="C6" s="4">
        <f>'Calc - bull'!$F$71</f>
        <v/>
      </c>
      <c r="D6">
        <f>Valuation!J88</f>
        <v/>
      </c>
    </row>
    <row r="8">
      <c r="A8" t="inlineStr">
        <is>
          <t>Probabilities sum to</t>
        </is>
      </c>
      <c r="B8" s="20">
        <f>SUM(B4:B6)</f>
        <v/>
      </c>
    </row>
    <row r="9">
      <c r="A9" t="inlineStr">
        <is>
          <t>Spread within each scenario</t>
        </is>
      </c>
      <c r="B9" s="12">
        <f>Valuation!$B$67</f>
        <v/>
      </c>
    </row>
    <row r="10">
      <c r="A10" t="inlineStr">
        <is>
          <t>Probability-weighted mean</t>
        </is>
      </c>
      <c r="B10" s="9">
        <f>($B$4*$C$4+$B$5*$C$5+$B$6*$C$6)*EXP($B$9^2/2)</f>
        <v/>
      </c>
    </row>
    <row r="12">
      <c r="A12" s="3" t="inlineStr">
        <is>
          <t>Quantile</t>
        </is>
      </c>
      <c r="B12" s="3" t="inlineStr">
        <is>
          <t>Price</t>
        </is>
      </c>
    </row>
    <row r="13">
      <c r="A13" t="inlineStr">
        <is>
          <t>Median (model target)</t>
        </is>
      </c>
      <c r="B13" s="9">
        <f>SQRT(A60*B60)</f>
        <v/>
      </c>
    </row>
    <row r="14">
      <c r="A14" t="inlineStr">
        <is>
          <t>10th percentile</t>
        </is>
      </c>
      <c r="B14" s="9">
        <f>SQRT(D60*E60)</f>
        <v/>
      </c>
    </row>
    <row r="15">
      <c r="A15" t="inlineStr">
        <is>
          <t>25th percentile</t>
        </is>
      </c>
      <c r="B15" s="9">
        <f>SQRT(G60*H60)</f>
        <v/>
      </c>
    </row>
    <row r="16">
      <c r="A16" t="inlineStr">
        <is>
          <t>75th percentile</t>
        </is>
      </c>
      <c r="B16" s="9">
        <f>SQRT(J60*K60)</f>
        <v/>
      </c>
    </row>
    <row r="17">
      <c r="A17" t="inlineStr">
        <is>
          <t>90th percentile</t>
        </is>
      </c>
      <c r="B17" s="9">
        <f>SQRT(M60*N60)</f>
        <v/>
      </c>
    </row>
    <row r="19">
      <c r="A19" s="2" t="inlineStr">
        <is>
          <t>Each quantile solved by bisection (block: low, high, probability above the midpoint)</t>
        </is>
      </c>
    </row>
    <row r="20">
      <c r="A20" s="3" t="inlineStr">
        <is>
          <t>Median (model target): low</t>
        </is>
      </c>
      <c r="B20" s="3" t="inlineStr">
        <is>
          <t>high</t>
        </is>
      </c>
      <c r="C20" s="3" t="inlineStr">
        <is>
          <t>P(above mid)</t>
        </is>
      </c>
      <c r="D20" s="3" t="inlineStr">
        <is>
          <t>10th percentile: low</t>
        </is>
      </c>
      <c r="E20" s="3" t="inlineStr">
        <is>
          <t>high</t>
        </is>
      </c>
      <c r="F20" s="3" t="inlineStr">
        <is>
          <t>P(above mid)</t>
        </is>
      </c>
      <c r="G20" s="3" t="inlineStr">
        <is>
          <t>25th percentile: low</t>
        </is>
      </c>
      <c r="H20" s="3" t="inlineStr">
        <is>
          <t>high</t>
        </is>
      </c>
      <c r="I20" s="3" t="inlineStr">
        <is>
          <t>P(above mid)</t>
        </is>
      </c>
      <c r="J20" s="3" t="inlineStr">
        <is>
          <t>75th percentile: low</t>
        </is>
      </c>
      <c r="K20" s="3" t="inlineStr">
        <is>
          <t>high</t>
        </is>
      </c>
      <c r="L20" s="3" t="inlineStr">
        <is>
          <t>P(above mid)</t>
        </is>
      </c>
      <c r="M20" s="3" t="inlineStr">
        <is>
          <t>90th percentile: low</t>
        </is>
      </c>
      <c r="N20" s="3" t="inlineStr">
        <is>
          <t>high</t>
        </is>
      </c>
      <c r="O20" s="3" t="inlineStr">
        <is>
          <t>P(above mid)</t>
        </is>
      </c>
    </row>
    <row r="21">
      <c r="A21" s="9">
        <f>MIN($C$4,$C$5,$C$6)*0.2</f>
        <v/>
      </c>
      <c r="B21" s="9">
        <f>MAX($C$4,$C$5,$C$6)*4</f>
        <v/>
      </c>
      <c r="C21" s="47">
        <f>SUMPRODUCT($B$4:$B$6,1-NORMSDIST((LN(SQRT(A21*B21))-LN($C$4:$C$6))/$B$9))</f>
        <v/>
      </c>
      <c r="D21" s="9">
        <f>MIN($C$4,$C$5,$C$6)*0.2</f>
        <v/>
      </c>
      <c r="E21" s="9">
        <f>MAX($C$4,$C$5,$C$6)*4</f>
        <v/>
      </c>
      <c r="F21" s="47">
        <f>SUMPRODUCT($B$4:$B$6,1-NORMSDIST((LN(SQRT(D21*E21))-LN($C$4:$C$6))/$B$9))</f>
        <v/>
      </c>
      <c r="G21" s="9">
        <f>MIN($C$4,$C$5,$C$6)*0.2</f>
        <v/>
      </c>
      <c r="H21" s="9">
        <f>MAX($C$4,$C$5,$C$6)*4</f>
        <v/>
      </c>
      <c r="I21" s="47">
        <f>SUMPRODUCT($B$4:$B$6,1-NORMSDIST((LN(SQRT(G21*H21))-LN($C$4:$C$6))/$B$9))</f>
        <v/>
      </c>
      <c r="J21" s="9">
        <f>MIN($C$4,$C$5,$C$6)*0.2</f>
        <v/>
      </c>
      <c r="K21" s="9">
        <f>MAX($C$4,$C$5,$C$6)*4</f>
        <v/>
      </c>
      <c r="L21" s="47">
        <f>SUMPRODUCT($B$4:$B$6,1-NORMSDIST((LN(SQRT(J21*K21))-LN($C$4:$C$6))/$B$9))</f>
        <v/>
      </c>
      <c r="M21" s="9">
        <f>MIN($C$4,$C$5,$C$6)*0.2</f>
        <v/>
      </c>
      <c r="N21" s="9">
        <f>MAX($C$4,$C$5,$C$6)*4</f>
        <v/>
      </c>
      <c r="O21" s="47">
        <f>SUMPRODUCT($B$4:$B$6,1-NORMSDIST((LN(SQRT(M21*N21))-LN($C$4:$C$6))/$B$9))</f>
        <v/>
      </c>
    </row>
    <row r="22">
      <c r="A22" s="9">
        <f>IF(C21&gt;0.5,SQRT(A21*B21),A21)</f>
        <v/>
      </c>
      <c r="B22" s="9">
        <f>IF(C21&gt;0.5,B21,SQRT(A21*B21))</f>
        <v/>
      </c>
      <c r="C22" s="47">
        <f>SUMPRODUCT($B$4:$B$6,1-NORMSDIST((LN(SQRT(A22*B22))-LN($C$4:$C$6))/$B$9))</f>
        <v/>
      </c>
      <c r="D22" s="9">
        <f>IF(F21&gt;0.9,SQRT(D21*E21),D21)</f>
        <v/>
      </c>
      <c r="E22" s="9">
        <f>IF(F21&gt;0.9,E21,SQRT(D21*E21))</f>
        <v/>
      </c>
      <c r="F22" s="47">
        <f>SUMPRODUCT($B$4:$B$6,1-NORMSDIST((LN(SQRT(D22*E22))-LN($C$4:$C$6))/$B$9))</f>
        <v/>
      </c>
      <c r="G22" s="9">
        <f>IF(I21&gt;0.75,SQRT(G21*H21),G21)</f>
        <v/>
      </c>
      <c r="H22" s="9">
        <f>IF(I21&gt;0.75,H21,SQRT(G21*H21))</f>
        <v/>
      </c>
      <c r="I22" s="47">
        <f>SUMPRODUCT($B$4:$B$6,1-NORMSDIST((LN(SQRT(G22*H22))-LN($C$4:$C$6))/$B$9))</f>
        <v/>
      </c>
      <c r="J22" s="9">
        <f>IF(L21&gt;0.25,SQRT(J21*K21),J21)</f>
        <v/>
      </c>
      <c r="K22" s="9">
        <f>IF(L21&gt;0.25,K21,SQRT(J21*K21))</f>
        <v/>
      </c>
      <c r="L22" s="47">
        <f>SUMPRODUCT($B$4:$B$6,1-NORMSDIST((LN(SQRT(J22*K22))-LN($C$4:$C$6))/$B$9))</f>
        <v/>
      </c>
      <c r="M22" s="9">
        <f>IF(O21&gt;0.09999999999999998,SQRT(M21*N21),M21)</f>
        <v/>
      </c>
      <c r="N22" s="9">
        <f>IF(O21&gt;0.09999999999999998,N21,SQRT(M21*N21))</f>
        <v/>
      </c>
      <c r="O22" s="47">
        <f>SUMPRODUCT($B$4:$B$6,1-NORMSDIST((LN(SQRT(M22*N22))-LN($C$4:$C$6))/$B$9))</f>
        <v/>
      </c>
    </row>
    <row r="23">
      <c r="A23" s="9">
        <f>IF(C22&gt;0.5,SQRT(A22*B22),A22)</f>
        <v/>
      </c>
      <c r="B23" s="9">
        <f>IF(C22&gt;0.5,B22,SQRT(A22*B22))</f>
        <v/>
      </c>
      <c r="C23" s="47">
        <f>SUMPRODUCT($B$4:$B$6,1-NORMSDIST((LN(SQRT(A23*B23))-LN($C$4:$C$6))/$B$9))</f>
        <v/>
      </c>
      <c r="D23" s="9">
        <f>IF(F22&gt;0.9,SQRT(D22*E22),D22)</f>
        <v/>
      </c>
      <c r="E23" s="9">
        <f>IF(F22&gt;0.9,E22,SQRT(D22*E22))</f>
        <v/>
      </c>
      <c r="F23" s="47">
        <f>SUMPRODUCT($B$4:$B$6,1-NORMSDIST((LN(SQRT(D23*E23))-LN($C$4:$C$6))/$B$9))</f>
        <v/>
      </c>
      <c r="G23" s="9">
        <f>IF(I22&gt;0.75,SQRT(G22*H22),G22)</f>
        <v/>
      </c>
      <c r="H23" s="9">
        <f>IF(I22&gt;0.75,H22,SQRT(G22*H22))</f>
        <v/>
      </c>
      <c r="I23" s="47">
        <f>SUMPRODUCT($B$4:$B$6,1-NORMSDIST((LN(SQRT(G23*H23))-LN($C$4:$C$6))/$B$9))</f>
        <v/>
      </c>
      <c r="J23" s="9">
        <f>IF(L22&gt;0.25,SQRT(J22*K22),J22)</f>
        <v/>
      </c>
      <c r="K23" s="9">
        <f>IF(L22&gt;0.25,K22,SQRT(J22*K22))</f>
        <v/>
      </c>
      <c r="L23" s="47">
        <f>SUMPRODUCT($B$4:$B$6,1-NORMSDIST((LN(SQRT(J23*K23))-LN($C$4:$C$6))/$B$9))</f>
        <v/>
      </c>
      <c r="M23" s="9">
        <f>IF(O22&gt;0.09999999999999998,SQRT(M22*N22),M22)</f>
        <v/>
      </c>
      <c r="N23" s="9">
        <f>IF(O22&gt;0.09999999999999998,N22,SQRT(M22*N22))</f>
        <v/>
      </c>
      <c r="O23" s="47">
        <f>SUMPRODUCT($B$4:$B$6,1-NORMSDIST((LN(SQRT(M23*N23))-LN($C$4:$C$6))/$B$9))</f>
        <v/>
      </c>
    </row>
    <row r="24">
      <c r="A24" s="9">
        <f>IF(C23&gt;0.5,SQRT(A23*B23),A23)</f>
        <v/>
      </c>
      <c r="B24" s="9">
        <f>IF(C23&gt;0.5,B23,SQRT(A23*B23))</f>
        <v/>
      </c>
      <c r="C24" s="47">
        <f>SUMPRODUCT($B$4:$B$6,1-NORMSDIST((LN(SQRT(A24*B24))-LN($C$4:$C$6))/$B$9))</f>
        <v/>
      </c>
      <c r="D24" s="9">
        <f>IF(F23&gt;0.9,SQRT(D23*E23),D23)</f>
        <v/>
      </c>
      <c r="E24" s="9">
        <f>IF(F23&gt;0.9,E23,SQRT(D23*E23))</f>
        <v/>
      </c>
      <c r="F24" s="47">
        <f>SUMPRODUCT($B$4:$B$6,1-NORMSDIST((LN(SQRT(D24*E24))-LN($C$4:$C$6))/$B$9))</f>
        <v/>
      </c>
      <c r="G24" s="9">
        <f>IF(I23&gt;0.75,SQRT(G23*H23),G23)</f>
        <v/>
      </c>
      <c r="H24" s="9">
        <f>IF(I23&gt;0.75,H23,SQRT(G23*H23))</f>
        <v/>
      </c>
      <c r="I24" s="47">
        <f>SUMPRODUCT($B$4:$B$6,1-NORMSDIST((LN(SQRT(G24*H24))-LN($C$4:$C$6))/$B$9))</f>
        <v/>
      </c>
      <c r="J24" s="9">
        <f>IF(L23&gt;0.25,SQRT(J23*K23),J23)</f>
        <v/>
      </c>
      <c r="K24" s="9">
        <f>IF(L23&gt;0.25,K23,SQRT(J23*K23))</f>
        <v/>
      </c>
      <c r="L24" s="47">
        <f>SUMPRODUCT($B$4:$B$6,1-NORMSDIST((LN(SQRT(J24*K24))-LN($C$4:$C$6))/$B$9))</f>
        <v/>
      </c>
      <c r="M24" s="9">
        <f>IF(O23&gt;0.09999999999999998,SQRT(M23*N23),M23)</f>
        <v/>
      </c>
      <c r="N24" s="9">
        <f>IF(O23&gt;0.09999999999999998,N23,SQRT(M23*N23))</f>
        <v/>
      </c>
      <c r="O24" s="47">
        <f>SUMPRODUCT($B$4:$B$6,1-NORMSDIST((LN(SQRT(M24*N24))-LN($C$4:$C$6))/$B$9))</f>
        <v/>
      </c>
    </row>
    <row r="25">
      <c r="A25" s="9">
        <f>IF(C24&gt;0.5,SQRT(A24*B24),A24)</f>
        <v/>
      </c>
      <c r="B25" s="9">
        <f>IF(C24&gt;0.5,B24,SQRT(A24*B24))</f>
        <v/>
      </c>
      <c r="C25" s="47">
        <f>SUMPRODUCT($B$4:$B$6,1-NORMSDIST((LN(SQRT(A25*B25))-LN($C$4:$C$6))/$B$9))</f>
        <v/>
      </c>
      <c r="D25" s="9">
        <f>IF(F24&gt;0.9,SQRT(D24*E24),D24)</f>
        <v/>
      </c>
      <c r="E25" s="9">
        <f>IF(F24&gt;0.9,E24,SQRT(D24*E24))</f>
        <v/>
      </c>
      <c r="F25" s="47">
        <f>SUMPRODUCT($B$4:$B$6,1-NORMSDIST((LN(SQRT(D25*E25))-LN($C$4:$C$6))/$B$9))</f>
        <v/>
      </c>
      <c r="G25" s="9">
        <f>IF(I24&gt;0.75,SQRT(G24*H24),G24)</f>
        <v/>
      </c>
      <c r="H25" s="9">
        <f>IF(I24&gt;0.75,H24,SQRT(G24*H24))</f>
        <v/>
      </c>
      <c r="I25" s="47">
        <f>SUMPRODUCT($B$4:$B$6,1-NORMSDIST((LN(SQRT(G25*H25))-LN($C$4:$C$6))/$B$9))</f>
        <v/>
      </c>
      <c r="J25" s="9">
        <f>IF(L24&gt;0.25,SQRT(J24*K24),J24)</f>
        <v/>
      </c>
      <c r="K25" s="9">
        <f>IF(L24&gt;0.25,K24,SQRT(J24*K24))</f>
        <v/>
      </c>
      <c r="L25" s="47">
        <f>SUMPRODUCT($B$4:$B$6,1-NORMSDIST((LN(SQRT(J25*K25))-LN($C$4:$C$6))/$B$9))</f>
        <v/>
      </c>
      <c r="M25" s="9">
        <f>IF(O24&gt;0.09999999999999998,SQRT(M24*N24),M24)</f>
        <v/>
      </c>
      <c r="N25" s="9">
        <f>IF(O24&gt;0.09999999999999998,N24,SQRT(M24*N24))</f>
        <v/>
      </c>
      <c r="O25" s="47">
        <f>SUMPRODUCT($B$4:$B$6,1-NORMSDIST((LN(SQRT(M25*N25))-LN($C$4:$C$6))/$B$9))</f>
        <v/>
      </c>
    </row>
    <row r="26">
      <c r="A26" s="9">
        <f>IF(C25&gt;0.5,SQRT(A25*B25),A25)</f>
        <v/>
      </c>
      <c r="B26" s="9">
        <f>IF(C25&gt;0.5,B25,SQRT(A25*B25))</f>
        <v/>
      </c>
      <c r="C26" s="47">
        <f>SUMPRODUCT($B$4:$B$6,1-NORMSDIST((LN(SQRT(A26*B26))-LN($C$4:$C$6))/$B$9))</f>
        <v/>
      </c>
      <c r="D26" s="9">
        <f>IF(F25&gt;0.9,SQRT(D25*E25),D25)</f>
        <v/>
      </c>
      <c r="E26" s="9">
        <f>IF(F25&gt;0.9,E25,SQRT(D25*E25))</f>
        <v/>
      </c>
      <c r="F26" s="47">
        <f>SUMPRODUCT($B$4:$B$6,1-NORMSDIST((LN(SQRT(D26*E26))-LN($C$4:$C$6))/$B$9))</f>
        <v/>
      </c>
      <c r="G26" s="9">
        <f>IF(I25&gt;0.75,SQRT(G25*H25),G25)</f>
        <v/>
      </c>
      <c r="H26" s="9">
        <f>IF(I25&gt;0.75,H25,SQRT(G25*H25))</f>
        <v/>
      </c>
      <c r="I26" s="47">
        <f>SUMPRODUCT($B$4:$B$6,1-NORMSDIST((LN(SQRT(G26*H26))-LN($C$4:$C$6))/$B$9))</f>
        <v/>
      </c>
      <c r="J26" s="9">
        <f>IF(L25&gt;0.25,SQRT(J25*K25),J25)</f>
        <v/>
      </c>
      <c r="K26" s="9">
        <f>IF(L25&gt;0.25,K25,SQRT(J25*K25))</f>
        <v/>
      </c>
      <c r="L26" s="47">
        <f>SUMPRODUCT($B$4:$B$6,1-NORMSDIST((LN(SQRT(J26*K26))-LN($C$4:$C$6))/$B$9))</f>
        <v/>
      </c>
      <c r="M26" s="9">
        <f>IF(O25&gt;0.09999999999999998,SQRT(M25*N25),M25)</f>
        <v/>
      </c>
      <c r="N26" s="9">
        <f>IF(O25&gt;0.09999999999999998,N25,SQRT(M25*N25))</f>
        <v/>
      </c>
      <c r="O26" s="47">
        <f>SUMPRODUCT($B$4:$B$6,1-NORMSDIST((LN(SQRT(M26*N26))-LN($C$4:$C$6))/$B$9))</f>
        <v/>
      </c>
    </row>
    <row r="27">
      <c r="A27" s="9">
        <f>IF(C26&gt;0.5,SQRT(A26*B26),A26)</f>
        <v/>
      </c>
      <c r="B27" s="9">
        <f>IF(C26&gt;0.5,B26,SQRT(A26*B26))</f>
        <v/>
      </c>
      <c r="C27" s="47">
        <f>SUMPRODUCT($B$4:$B$6,1-NORMSDIST((LN(SQRT(A27*B27))-LN($C$4:$C$6))/$B$9))</f>
        <v/>
      </c>
      <c r="D27" s="9">
        <f>IF(F26&gt;0.9,SQRT(D26*E26),D26)</f>
        <v/>
      </c>
      <c r="E27" s="9">
        <f>IF(F26&gt;0.9,E26,SQRT(D26*E26))</f>
        <v/>
      </c>
      <c r="F27" s="47">
        <f>SUMPRODUCT($B$4:$B$6,1-NORMSDIST((LN(SQRT(D27*E27))-LN($C$4:$C$6))/$B$9))</f>
        <v/>
      </c>
      <c r="G27" s="9">
        <f>IF(I26&gt;0.75,SQRT(G26*H26),G26)</f>
        <v/>
      </c>
      <c r="H27" s="9">
        <f>IF(I26&gt;0.75,H26,SQRT(G26*H26))</f>
        <v/>
      </c>
      <c r="I27" s="47">
        <f>SUMPRODUCT($B$4:$B$6,1-NORMSDIST((LN(SQRT(G27*H27))-LN($C$4:$C$6))/$B$9))</f>
        <v/>
      </c>
      <c r="J27" s="9">
        <f>IF(L26&gt;0.25,SQRT(J26*K26),J26)</f>
        <v/>
      </c>
      <c r="K27" s="9">
        <f>IF(L26&gt;0.25,K26,SQRT(J26*K26))</f>
        <v/>
      </c>
      <c r="L27" s="47">
        <f>SUMPRODUCT($B$4:$B$6,1-NORMSDIST((LN(SQRT(J27*K27))-LN($C$4:$C$6))/$B$9))</f>
        <v/>
      </c>
      <c r="M27" s="9">
        <f>IF(O26&gt;0.09999999999999998,SQRT(M26*N26),M26)</f>
        <v/>
      </c>
      <c r="N27" s="9">
        <f>IF(O26&gt;0.09999999999999998,N26,SQRT(M26*N26))</f>
        <v/>
      </c>
      <c r="O27" s="47">
        <f>SUMPRODUCT($B$4:$B$6,1-NORMSDIST((LN(SQRT(M27*N27))-LN($C$4:$C$6))/$B$9))</f>
        <v/>
      </c>
    </row>
    <row r="28">
      <c r="A28" s="9">
        <f>IF(C27&gt;0.5,SQRT(A27*B27),A27)</f>
        <v/>
      </c>
      <c r="B28" s="9">
        <f>IF(C27&gt;0.5,B27,SQRT(A27*B27))</f>
        <v/>
      </c>
      <c r="C28" s="47">
        <f>SUMPRODUCT($B$4:$B$6,1-NORMSDIST((LN(SQRT(A28*B28))-LN($C$4:$C$6))/$B$9))</f>
        <v/>
      </c>
      <c r="D28" s="9">
        <f>IF(F27&gt;0.9,SQRT(D27*E27),D27)</f>
        <v/>
      </c>
      <c r="E28" s="9">
        <f>IF(F27&gt;0.9,E27,SQRT(D27*E27))</f>
        <v/>
      </c>
      <c r="F28" s="47">
        <f>SUMPRODUCT($B$4:$B$6,1-NORMSDIST((LN(SQRT(D28*E28))-LN($C$4:$C$6))/$B$9))</f>
        <v/>
      </c>
      <c r="G28" s="9">
        <f>IF(I27&gt;0.75,SQRT(G27*H27),G27)</f>
        <v/>
      </c>
      <c r="H28" s="9">
        <f>IF(I27&gt;0.75,H27,SQRT(G27*H27))</f>
        <v/>
      </c>
      <c r="I28" s="47">
        <f>SUMPRODUCT($B$4:$B$6,1-NORMSDIST((LN(SQRT(G28*H28))-LN($C$4:$C$6))/$B$9))</f>
        <v/>
      </c>
      <c r="J28" s="9">
        <f>IF(L27&gt;0.25,SQRT(J27*K27),J27)</f>
        <v/>
      </c>
      <c r="K28" s="9">
        <f>IF(L27&gt;0.25,K27,SQRT(J27*K27))</f>
        <v/>
      </c>
      <c r="L28" s="47">
        <f>SUMPRODUCT($B$4:$B$6,1-NORMSDIST((LN(SQRT(J28*K28))-LN($C$4:$C$6))/$B$9))</f>
        <v/>
      </c>
      <c r="M28" s="9">
        <f>IF(O27&gt;0.09999999999999998,SQRT(M27*N27),M27)</f>
        <v/>
      </c>
      <c r="N28" s="9">
        <f>IF(O27&gt;0.09999999999999998,N27,SQRT(M27*N27))</f>
        <v/>
      </c>
      <c r="O28" s="47">
        <f>SUMPRODUCT($B$4:$B$6,1-NORMSDIST((LN(SQRT(M28*N28))-LN($C$4:$C$6))/$B$9))</f>
        <v/>
      </c>
    </row>
    <row r="29">
      <c r="A29" s="9">
        <f>IF(C28&gt;0.5,SQRT(A28*B28),A28)</f>
        <v/>
      </c>
      <c r="B29" s="9">
        <f>IF(C28&gt;0.5,B28,SQRT(A28*B28))</f>
        <v/>
      </c>
      <c r="C29" s="47">
        <f>SUMPRODUCT($B$4:$B$6,1-NORMSDIST((LN(SQRT(A29*B29))-LN($C$4:$C$6))/$B$9))</f>
        <v/>
      </c>
      <c r="D29" s="9">
        <f>IF(F28&gt;0.9,SQRT(D28*E28),D28)</f>
        <v/>
      </c>
      <c r="E29" s="9">
        <f>IF(F28&gt;0.9,E28,SQRT(D28*E28))</f>
        <v/>
      </c>
      <c r="F29" s="47">
        <f>SUMPRODUCT($B$4:$B$6,1-NORMSDIST((LN(SQRT(D29*E29))-LN($C$4:$C$6))/$B$9))</f>
        <v/>
      </c>
      <c r="G29" s="9">
        <f>IF(I28&gt;0.75,SQRT(G28*H28),G28)</f>
        <v/>
      </c>
      <c r="H29" s="9">
        <f>IF(I28&gt;0.75,H28,SQRT(G28*H28))</f>
        <v/>
      </c>
      <c r="I29" s="47">
        <f>SUMPRODUCT($B$4:$B$6,1-NORMSDIST((LN(SQRT(G29*H29))-LN($C$4:$C$6))/$B$9))</f>
        <v/>
      </c>
      <c r="J29" s="9">
        <f>IF(L28&gt;0.25,SQRT(J28*K28),J28)</f>
        <v/>
      </c>
      <c r="K29" s="9">
        <f>IF(L28&gt;0.25,K28,SQRT(J28*K28))</f>
        <v/>
      </c>
      <c r="L29" s="47">
        <f>SUMPRODUCT($B$4:$B$6,1-NORMSDIST((LN(SQRT(J29*K29))-LN($C$4:$C$6))/$B$9))</f>
        <v/>
      </c>
      <c r="M29" s="9">
        <f>IF(O28&gt;0.09999999999999998,SQRT(M28*N28),M28)</f>
        <v/>
      </c>
      <c r="N29" s="9">
        <f>IF(O28&gt;0.09999999999999998,N28,SQRT(M28*N28))</f>
        <v/>
      </c>
      <c r="O29" s="47">
        <f>SUMPRODUCT($B$4:$B$6,1-NORMSDIST((LN(SQRT(M29*N29))-LN($C$4:$C$6))/$B$9))</f>
        <v/>
      </c>
    </row>
    <row r="30">
      <c r="A30" s="9">
        <f>IF(C29&gt;0.5,SQRT(A29*B29),A29)</f>
        <v/>
      </c>
      <c r="B30" s="9">
        <f>IF(C29&gt;0.5,B29,SQRT(A29*B29))</f>
        <v/>
      </c>
      <c r="C30" s="47">
        <f>SUMPRODUCT($B$4:$B$6,1-NORMSDIST((LN(SQRT(A30*B30))-LN($C$4:$C$6))/$B$9))</f>
        <v/>
      </c>
      <c r="D30" s="9">
        <f>IF(F29&gt;0.9,SQRT(D29*E29),D29)</f>
        <v/>
      </c>
      <c r="E30" s="9">
        <f>IF(F29&gt;0.9,E29,SQRT(D29*E29))</f>
        <v/>
      </c>
      <c r="F30" s="47">
        <f>SUMPRODUCT($B$4:$B$6,1-NORMSDIST((LN(SQRT(D30*E30))-LN($C$4:$C$6))/$B$9))</f>
        <v/>
      </c>
      <c r="G30" s="9">
        <f>IF(I29&gt;0.75,SQRT(G29*H29),G29)</f>
        <v/>
      </c>
      <c r="H30" s="9">
        <f>IF(I29&gt;0.75,H29,SQRT(G29*H29))</f>
        <v/>
      </c>
      <c r="I30" s="47">
        <f>SUMPRODUCT($B$4:$B$6,1-NORMSDIST((LN(SQRT(G30*H30))-LN($C$4:$C$6))/$B$9))</f>
        <v/>
      </c>
      <c r="J30" s="9">
        <f>IF(L29&gt;0.25,SQRT(J29*K29),J29)</f>
        <v/>
      </c>
      <c r="K30" s="9">
        <f>IF(L29&gt;0.25,K29,SQRT(J29*K29))</f>
        <v/>
      </c>
      <c r="L30" s="47">
        <f>SUMPRODUCT($B$4:$B$6,1-NORMSDIST((LN(SQRT(J30*K30))-LN($C$4:$C$6))/$B$9))</f>
        <v/>
      </c>
      <c r="M30" s="9">
        <f>IF(O29&gt;0.09999999999999998,SQRT(M29*N29),M29)</f>
        <v/>
      </c>
      <c r="N30" s="9">
        <f>IF(O29&gt;0.09999999999999998,N29,SQRT(M29*N29))</f>
        <v/>
      </c>
      <c r="O30" s="47">
        <f>SUMPRODUCT($B$4:$B$6,1-NORMSDIST((LN(SQRT(M30*N30))-LN($C$4:$C$6))/$B$9))</f>
        <v/>
      </c>
    </row>
    <row r="31">
      <c r="A31" s="9">
        <f>IF(C30&gt;0.5,SQRT(A30*B30),A30)</f>
        <v/>
      </c>
      <c r="B31" s="9">
        <f>IF(C30&gt;0.5,B30,SQRT(A30*B30))</f>
        <v/>
      </c>
      <c r="C31" s="47">
        <f>SUMPRODUCT($B$4:$B$6,1-NORMSDIST((LN(SQRT(A31*B31))-LN($C$4:$C$6))/$B$9))</f>
        <v/>
      </c>
      <c r="D31" s="9">
        <f>IF(F30&gt;0.9,SQRT(D30*E30),D30)</f>
        <v/>
      </c>
      <c r="E31" s="9">
        <f>IF(F30&gt;0.9,E30,SQRT(D30*E30))</f>
        <v/>
      </c>
      <c r="F31" s="47">
        <f>SUMPRODUCT($B$4:$B$6,1-NORMSDIST((LN(SQRT(D31*E31))-LN($C$4:$C$6))/$B$9))</f>
        <v/>
      </c>
      <c r="G31" s="9">
        <f>IF(I30&gt;0.75,SQRT(G30*H30),G30)</f>
        <v/>
      </c>
      <c r="H31" s="9">
        <f>IF(I30&gt;0.75,H30,SQRT(G30*H30))</f>
        <v/>
      </c>
      <c r="I31" s="47">
        <f>SUMPRODUCT($B$4:$B$6,1-NORMSDIST((LN(SQRT(G31*H31))-LN($C$4:$C$6))/$B$9))</f>
        <v/>
      </c>
      <c r="J31" s="9">
        <f>IF(L30&gt;0.25,SQRT(J30*K30),J30)</f>
        <v/>
      </c>
      <c r="K31" s="9">
        <f>IF(L30&gt;0.25,K30,SQRT(J30*K30))</f>
        <v/>
      </c>
      <c r="L31" s="47">
        <f>SUMPRODUCT($B$4:$B$6,1-NORMSDIST((LN(SQRT(J31*K31))-LN($C$4:$C$6))/$B$9))</f>
        <v/>
      </c>
      <c r="M31" s="9">
        <f>IF(O30&gt;0.09999999999999998,SQRT(M30*N30),M30)</f>
        <v/>
      </c>
      <c r="N31" s="9">
        <f>IF(O30&gt;0.09999999999999998,N30,SQRT(M30*N30))</f>
        <v/>
      </c>
      <c r="O31" s="47">
        <f>SUMPRODUCT($B$4:$B$6,1-NORMSDIST((LN(SQRT(M31*N31))-LN($C$4:$C$6))/$B$9))</f>
        <v/>
      </c>
    </row>
    <row r="32">
      <c r="A32" s="9">
        <f>IF(C31&gt;0.5,SQRT(A31*B31),A31)</f>
        <v/>
      </c>
      <c r="B32" s="9">
        <f>IF(C31&gt;0.5,B31,SQRT(A31*B31))</f>
        <v/>
      </c>
      <c r="C32" s="47">
        <f>SUMPRODUCT($B$4:$B$6,1-NORMSDIST((LN(SQRT(A32*B32))-LN($C$4:$C$6))/$B$9))</f>
        <v/>
      </c>
      <c r="D32" s="9">
        <f>IF(F31&gt;0.9,SQRT(D31*E31),D31)</f>
        <v/>
      </c>
      <c r="E32" s="9">
        <f>IF(F31&gt;0.9,E31,SQRT(D31*E31))</f>
        <v/>
      </c>
      <c r="F32" s="47">
        <f>SUMPRODUCT($B$4:$B$6,1-NORMSDIST((LN(SQRT(D32*E32))-LN($C$4:$C$6))/$B$9))</f>
        <v/>
      </c>
      <c r="G32" s="9">
        <f>IF(I31&gt;0.75,SQRT(G31*H31),G31)</f>
        <v/>
      </c>
      <c r="H32" s="9">
        <f>IF(I31&gt;0.75,H31,SQRT(G31*H31))</f>
        <v/>
      </c>
      <c r="I32" s="47">
        <f>SUMPRODUCT($B$4:$B$6,1-NORMSDIST((LN(SQRT(G32*H32))-LN($C$4:$C$6))/$B$9))</f>
        <v/>
      </c>
      <c r="J32" s="9">
        <f>IF(L31&gt;0.25,SQRT(J31*K31),J31)</f>
        <v/>
      </c>
      <c r="K32" s="9">
        <f>IF(L31&gt;0.25,K31,SQRT(J31*K31))</f>
        <v/>
      </c>
      <c r="L32" s="47">
        <f>SUMPRODUCT($B$4:$B$6,1-NORMSDIST((LN(SQRT(J32*K32))-LN($C$4:$C$6))/$B$9))</f>
        <v/>
      </c>
      <c r="M32" s="9">
        <f>IF(O31&gt;0.09999999999999998,SQRT(M31*N31),M31)</f>
        <v/>
      </c>
      <c r="N32" s="9">
        <f>IF(O31&gt;0.09999999999999998,N31,SQRT(M31*N31))</f>
        <v/>
      </c>
      <c r="O32" s="47">
        <f>SUMPRODUCT($B$4:$B$6,1-NORMSDIST((LN(SQRT(M32*N32))-LN($C$4:$C$6))/$B$9))</f>
        <v/>
      </c>
    </row>
    <row r="33">
      <c r="A33" s="9">
        <f>IF(C32&gt;0.5,SQRT(A32*B32),A32)</f>
        <v/>
      </c>
      <c r="B33" s="9">
        <f>IF(C32&gt;0.5,B32,SQRT(A32*B32))</f>
        <v/>
      </c>
      <c r="C33" s="47">
        <f>SUMPRODUCT($B$4:$B$6,1-NORMSDIST((LN(SQRT(A33*B33))-LN($C$4:$C$6))/$B$9))</f>
        <v/>
      </c>
      <c r="D33" s="9">
        <f>IF(F32&gt;0.9,SQRT(D32*E32),D32)</f>
        <v/>
      </c>
      <c r="E33" s="9">
        <f>IF(F32&gt;0.9,E32,SQRT(D32*E32))</f>
        <v/>
      </c>
      <c r="F33" s="47">
        <f>SUMPRODUCT($B$4:$B$6,1-NORMSDIST((LN(SQRT(D33*E33))-LN($C$4:$C$6))/$B$9))</f>
        <v/>
      </c>
      <c r="G33" s="9">
        <f>IF(I32&gt;0.75,SQRT(G32*H32),G32)</f>
        <v/>
      </c>
      <c r="H33" s="9">
        <f>IF(I32&gt;0.75,H32,SQRT(G32*H32))</f>
        <v/>
      </c>
      <c r="I33" s="47">
        <f>SUMPRODUCT($B$4:$B$6,1-NORMSDIST((LN(SQRT(G33*H33))-LN($C$4:$C$6))/$B$9))</f>
        <v/>
      </c>
      <c r="J33" s="9">
        <f>IF(L32&gt;0.25,SQRT(J32*K32),J32)</f>
        <v/>
      </c>
      <c r="K33" s="9">
        <f>IF(L32&gt;0.25,K32,SQRT(J32*K32))</f>
        <v/>
      </c>
      <c r="L33" s="47">
        <f>SUMPRODUCT($B$4:$B$6,1-NORMSDIST((LN(SQRT(J33*K33))-LN($C$4:$C$6))/$B$9))</f>
        <v/>
      </c>
      <c r="M33" s="9">
        <f>IF(O32&gt;0.09999999999999998,SQRT(M32*N32),M32)</f>
        <v/>
      </c>
      <c r="N33" s="9">
        <f>IF(O32&gt;0.09999999999999998,N32,SQRT(M32*N32))</f>
        <v/>
      </c>
      <c r="O33" s="47">
        <f>SUMPRODUCT($B$4:$B$6,1-NORMSDIST((LN(SQRT(M33*N33))-LN($C$4:$C$6))/$B$9))</f>
        <v/>
      </c>
    </row>
    <row r="34">
      <c r="A34" s="9">
        <f>IF(C33&gt;0.5,SQRT(A33*B33),A33)</f>
        <v/>
      </c>
      <c r="B34" s="9">
        <f>IF(C33&gt;0.5,B33,SQRT(A33*B33))</f>
        <v/>
      </c>
      <c r="C34" s="47">
        <f>SUMPRODUCT($B$4:$B$6,1-NORMSDIST((LN(SQRT(A34*B34))-LN($C$4:$C$6))/$B$9))</f>
        <v/>
      </c>
      <c r="D34" s="9">
        <f>IF(F33&gt;0.9,SQRT(D33*E33),D33)</f>
        <v/>
      </c>
      <c r="E34" s="9">
        <f>IF(F33&gt;0.9,E33,SQRT(D33*E33))</f>
        <v/>
      </c>
      <c r="F34" s="47">
        <f>SUMPRODUCT($B$4:$B$6,1-NORMSDIST((LN(SQRT(D34*E34))-LN($C$4:$C$6))/$B$9))</f>
        <v/>
      </c>
      <c r="G34" s="9">
        <f>IF(I33&gt;0.75,SQRT(G33*H33),G33)</f>
        <v/>
      </c>
      <c r="H34" s="9">
        <f>IF(I33&gt;0.75,H33,SQRT(G33*H33))</f>
        <v/>
      </c>
      <c r="I34" s="47">
        <f>SUMPRODUCT($B$4:$B$6,1-NORMSDIST((LN(SQRT(G34*H34))-LN($C$4:$C$6))/$B$9))</f>
        <v/>
      </c>
      <c r="J34" s="9">
        <f>IF(L33&gt;0.25,SQRT(J33*K33),J33)</f>
        <v/>
      </c>
      <c r="K34" s="9">
        <f>IF(L33&gt;0.25,K33,SQRT(J33*K33))</f>
        <v/>
      </c>
      <c r="L34" s="47">
        <f>SUMPRODUCT($B$4:$B$6,1-NORMSDIST((LN(SQRT(J34*K34))-LN($C$4:$C$6))/$B$9))</f>
        <v/>
      </c>
      <c r="M34" s="9">
        <f>IF(O33&gt;0.09999999999999998,SQRT(M33*N33),M33)</f>
        <v/>
      </c>
      <c r="N34" s="9">
        <f>IF(O33&gt;0.09999999999999998,N33,SQRT(M33*N33))</f>
        <v/>
      </c>
      <c r="O34" s="47">
        <f>SUMPRODUCT($B$4:$B$6,1-NORMSDIST((LN(SQRT(M34*N34))-LN($C$4:$C$6))/$B$9))</f>
        <v/>
      </c>
    </row>
    <row r="35">
      <c r="A35" s="9">
        <f>IF(C34&gt;0.5,SQRT(A34*B34),A34)</f>
        <v/>
      </c>
      <c r="B35" s="9">
        <f>IF(C34&gt;0.5,B34,SQRT(A34*B34))</f>
        <v/>
      </c>
      <c r="C35" s="47">
        <f>SUMPRODUCT($B$4:$B$6,1-NORMSDIST((LN(SQRT(A35*B35))-LN($C$4:$C$6))/$B$9))</f>
        <v/>
      </c>
      <c r="D35" s="9">
        <f>IF(F34&gt;0.9,SQRT(D34*E34),D34)</f>
        <v/>
      </c>
      <c r="E35" s="9">
        <f>IF(F34&gt;0.9,E34,SQRT(D34*E34))</f>
        <v/>
      </c>
      <c r="F35" s="47">
        <f>SUMPRODUCT($B$4:$B$6,1-NORMSDIST((LN(SQRT(D35*E35))-LN($C$4:$C$6))/$B$9))</f>
        <v/>
      </c>
      <c r="G35" s="9">
        <f>IF(I34&gt;0.75,SQRT(G34*H34),G34)</f>
        <v/>
      </c>
      <c r="H35" s="9">
        <f>IF(I34&gt;0.75,H34,SQRT(G34*H34))</f>
        <v/>
      </c>
      <c r="I35" s="47">
        <f>SUMPRODUCT($B$4:$B$6,1-NORMSDIST((LN(SQRT(G35*H35))-LN($C$4:$C$6))/$B$9))</f>
        <v/>
      </c>
      <c r="J35" s="9">
        <f>IF(L34&gt;0.25,SQRT(J34*K34),J34)</f>
        <v/>
      </c>
      <c r="K35" s="9">
        <f>IF(L34&gt;0.25,K34,SQRT(J34*K34))</f>
        <v/>
      </c>
      <c r="L35" s="47">
        <f>SUMPRODUCT($B$4:$B$6,1-NORMSDIST((LN(SQRT(J35*K35))-LN($C$4:$C$6))/$B$9))</f>
        <v/>
      </c>
      <c r="M35" s="9">
        <f>IF(O34&gt;0.09999999999999998,SQRT(M34*N34),M34)</f>
        <v/>
      </c>
      <c r="N35" s="9">
        <f>IF(O34&gt;0.09999999999999998,N34,SQRT(M34*N34))</f>
        <v/>
      </c>
      <c r="O35" s="47">
        <f>SUMPRODUCT($B$4:$B$6,1-NORMSDIST((LN(SQRT(M35*N35))-LN($C$4:$C$6))/$B$9))</f>
        <v/>
      </c>
    </row>
    <row r="36">
      <c r="A36" s="9">
        <f>IF(C35&gt;0.5,SQRT(A35*B35),A35)</f>
        <v/>
      </c>
      <c r="B36" s="9">
        <f>IF(C35&gt;0.5,B35,SQRT(A35*B35))</f>
        <v/>
      </c>
      <c r="C36" s="47">
        <f>SUMPRODUCT($B$4:$B$6,1-NORMSDIST((LN(SQRT(A36*B36))-LN($C$4:$C$6))/$B$9))</f>
        <v/>
      </c>
      <c r="D36" s="9">
        <f>IF(F35&gt;0.9,SQRT(D35*E35),D35)</f>
        <v/>
      </c>
      <c r="E36" s="9">
        <f>IF(F35&gt;0.9,E35,SQRT(D35*E35))</f>
        <v/>
      </c>
      <c r="F36" s="47">
        <f>SUMPRODUCT($B$4:$B$6,1-NORMSDIST((LN(SQRT(D36*E36))-LN($C$4:$C$6))/$B$9))</f>
        <v/>
      </c>
      <c r="G36" s="9">
        <f>IF(I35&gt;0.75,SQRT(G35*H35),G35)</f>
        <v/>
      </c>
      <c r="H36" s="9">
        <f>IF(I35&gt;0.75,H35,SQRT(G35*H35))</f>
        <v/>
      </c>
      <c r="I36" s="47">
        <f>SUMPRODUCT($B$4:$B$6,1-NORMSDIST((LN(SQRT(G36*H36))-LN($C$4:$C$6))/$B$9))</f>
        <v/>
      </c>
      <c r="J36" s="9">
        <f>IF(L35&gt;0.25,SQRT(J35*K35),J35)</f>
        <v/>
      </c>
      <c r="K36" s="9">
        <f>IF(L35&gt;0.25,K35,SQRT(J35*K35))</f>
        <v/>
      </c>
      <c r="L36" s="47">
        <f>SUMPRODUCT($B$4:$B$6,1-NORMSDIST((LN(SQRT(J36*K36))-LN($C$4:$C$6))/$B$9))</f>
        <v/>
      </c>
      <c r="M36" s="9">
        <f>IF(O35&gt;0.09999999999999998,SQRT(M35*N35),M35)</f>
        <v/>
      </c>
      <c r="N36" s="9">
        <f>IF(O35&gt;0.09999999999999998,N35,SQRT(M35*N35))</f>
        <v/>
      </c>
      <c r="O36" s="47">
        <f>SUMPRODUCT($B$4:$B$6,1-NORMSDIST((LN(SQRT(M36*N36))-LN($C$4:$C$6))/$B$9))</f>
        <v/>
      </c>
    </row>
    <row r="37">
      <c r="A37" s="9">
        <f>IF(C36&gt;0.5,SQRT(A36*B36),A36)</f>
        <v/>
      </c>
      <c r="B37" s="9">
        <f>IF(C36&gt;0.5,B36,SQRT(A36*B36))</f>
        <v/>
      </c>
      <c r="C37" s="47">
        <f>SUMPRODUCT($B$4:$B$6,1-NORMSDIST((LN(SQRT(A37*B37))-LN($C$4:$C$6))/$B$9))</f>
        <v/>
      </c>
      <c r="D37" s="9">
        <f>IF(F36&gt;0.9,SQRT(D36*E36),D36)</f>
        <v/>
      </c>
      <c r="E37" s="9">
        <f>IF(F36&gt;0.9,E36,SQRT(D36*E36))</f>
        <v/>
      </c>
      <c r="F37" s="47">
        <f>SUMPRODUCT($B$4:$B$6,1-NORMSDIST((LN(SQRT(D37*E37))-LN($C$4:$C$6))/$B$9))</f>
        <v/>
      </c>
      <c r="G37" s="9">
        <f>IF(I36&gt;0.75,SQRT(G36*H36),G36)</f>
        <v/>
      </c>
      <c r="H37" s="9">
        <f>IF(I36&gt;0.75,H36,SQRT(G36*H36))</f>
        <v/>
      </c>
      <c r="I37" s="47">
        <f>SUMPRODUCT($B$4:$B$6,1-NORMSDIST((LN(SQRT(G37*H37))-LN($C$4:$C$6))/$B$9))</f>
        <v/>
      </c>
      <c r="J37" s="9">
        <f>IF(L36&gt;0.25,SQRT(J36*K36),J36)</f>
        <v/>
      </c>
      <c r="K37" s="9">
        <f>IF(L36&gt;0.25,K36,SQRT(J36*K36))</f>
        <v/>
      </c>
      <c r="L37" s="47">
        <f>SUMPRODUCT($B$4:$B$6,1-NORMSDIST((LN(SQRT(J37*K37))-LN($C$4:$C$6))/$B$9))</f>
        <v/>
      </c>
      <c r="M37" s="9">
        <f>IF(O36&gt;0.09999999999999998,SQRT(M36*N36),M36)</f>
        <v/>
      </c>
      <c r="N37" s="9">
        <f>IF(O36&gt;0.09999999999999998,N36,SQRT(M36*N36))</f>
        <v/>
      </c>
      <c r="O37" s="47">
        <f>SUMPRODUCT($B$4:$B$6,1-NORMSDIST((LN(SQRT(M37*N37))-LN($C$4:$C$6))/$B$9))</f>
        <v/>
      </c>
    </row>
    <row r="38">
      <c r="A38" s="9">
        <f>IF(C37&gt;0.5,SQRT(A37*B37),A37)</f>
        <v/>
      </c>
      <c r="B38" s="9">
        <f>IF(C37&gt;0.5,B37,SQRT(A37*B37))</f>
        <v/>
      </c>
      <c r="C38" s="47">
        <f>SUMPRODUCT($B$4:$B$6,1-NORMSDIST((LN(SQRT(A38*B38))-LN($C$4:$C$6))/$B$9))</f>
        <v/>
      </c>
      <c r="D38" s="9">
        <f>IF(F37&gt;0.9,SQRT(D37*E37),D37)</f>
        <v/>
      </c>
      <c r="E38" s="9">
        <f>IF(F37&gt;0.9,E37,SQRT(D37*E37))</f>
        <v/>
      </c>
      <c r="F38" s="47">
        <f>SUMPRODUCT($B$4:$B$6,1-NORMSDIST((LN(SQRT(D38*E38))-LN($C$4:$C$6))/$B$9))</f>
        <v/>
      </c>
      <c r="G38" s="9">
        <f>IF(I37&gt;0.75,SQRT(G37*H37),G37)</f>
        <v/>
      </c>
      <c r="H38" s="9">
        <f>IF(I37&gt;0.75,H37,SQRT(G37*H37))</f>
        <v/>
      </c>
      <c r="I38" s="47">
        <f>SUMPRODUCT($B$4:$B$6,1-NORMSDIST((LN(SQRT(G38*H38))-LN($C$4:$C$6))/$B$9))</f>
        <v/>
      </c>
      <c r="J38" s="9">
        <f>IF(L37&gt;0.25,SQRT(J37*K37),J37)</f>
        <v/>
      </c>
      <c r="K38" s="9">
        <f>IF(L37&gt;0.25,K37,SQRT(J37*K37))</f>
        <v/>
      </c>
      <c r="L38" s="47">
        <f>SUMPRODUCT($B$4:$B$6,1-NORMSDIST((LN(SQRT(J38*K38))-LN($C$4:$C$6))/$B$9))</f>
        <v/>
      </c>
      <c r="M38" s="9">
        <f>IF(O37&gt;0.09999999999999998,SQRT(M37*N37),M37)</f>
        <v/>
      </c>
      <c r="N38" s="9">
        <f>IF(O37&gt;0.09999999999999998,N37,SQRT(M37*N37))</f>
        <v/>
      </c>
      <c r="O38" s="47">
        <f>SUMPRODUCT($B$4:$B$6,1-NORMSDIST((LN(SQRT(M38*N38))-LN($C$4:$C$6))/$B$9))</f>
        <v/>
      </c>
    </row>
    <row r="39">
      <c r="A39" s="9">
        <f>IF(C38&gt;0.5,SQRT(A38*B38),A38)</f>
        <v/>
      </c>
      <c r="B39" s="9">
        <f>IF(C38&gt;0.5,B38,SQRT(A38*B38))</f>
        <v/>
      </c>
      <c r="C39" s="47">
        <f>SUMPRODUCT($B$4:$B$6,1-NORMSDIST((LN(SQRT(A39*B39))-LN($C$4:$C$6))/$B$9))</f>
        <v/>
      </c>
      <c r="D39" s="9">
        <f>IF(F38&gt;0.9,SQRT(D38*E38),D38)</f>
        <v/>
      </c>
      <c r="E39" s="9">
        <f>IF(F38&gt;0.9,E38,SQRT(D38*E38))</f>
        <v/>
      </c>
      <c r="F39" s="47">
        <f>SUMPRODUCT($B$4:$B$6,1-NORMSDIST((LN(SQRT(D39*E39))-LN($C$4:$C$6))/$B$9))</f>
        <v/>
      </c>
      <c r="G39" s="9">
        <f>IF(I38&gt;0.75,SQRT(G38*H38),G38)</f>
        <v/>
      </c>
      <c r="H39" s="9">
        <f>IF(I38&gt;0.75,H38,SQRT(G38*H38))</f>
        <v/>
      </c>
      <c r="I39" s="47">
        <f>SUMPRODUCT($B$4:$B$6,1-NORMSDIST((LN(SQRT(G39*H39))-LN($C$4:$C$6))/$B$9))</f>
        <v/>
      </c>
      <c r="J39" s="9">
        <f>IF(L38&gt;0.25,SQRT(J38*K38),J38)</f>
        <v/>
      </c>
      <c r="K39" s="9">
        <f>IF(L38&gt;0.25,K38,SQRT(J38*K38))</f>
        <v/>
      </c>
      <c r="L39" s="47">
        <f>SUMPRODUCT($B$4:$B$6,1-NORMSDIST((LN(SQRT(J39*K39))-LN($C$4:$C$6))/$B$9))</f>
        <v/>
      </c>
      <c r="M39" s="9">
        <f>IF(O38&gt;0.09999999999999998,SQRT(M38*N38),M38)</f>
        <v/>
      </c>
      <c r="N39" s="9">
        <f>IF(O38&gt;0.09999999999999998,N38,SQRT(M38*N38))</f>
        <v/>
      </c>
      <c r="O39" s="47">
        <f>SUMPRODUCT($B$4:$B$6,1-NORMSDIST((LN(SQRT(M39*N39))-LN($C$4:$C$6))/$B$9))</f>
        <v/>
      </c>
    </row>
    <row r="40">
      <c r="A40" s="9">
        <f>IF(C39&gt;0.5,SQRT(A39*B39),A39)</f>
        <v/>
      </c>
      <c r="B40" s="9">
        <f>IF(C39&gt;0.5,B39,SQRT(A39*B39))</f>
        <v/>
      </c>
      <c r="C40" s="47">
        <f>SUMPRODUCT($B$4:$B$6,1-NORMSDIST((LN(SQRT(A40*B40))-LN($C$4:$C$6))/$B$9))</f>
        <v/>
      </c>
      <c r="D40" s="9">
        <f>IF(F39&gt;0.9,SQRT(D39*E39),D39)</f>
        <v/>
      </c>
      <c r="E40" s="9">
        <f>IF(F39&gt;0.9,E39,SQRT(D39*E39))</f>
        <v/>
      </c>
      <c r="F40" s="47">
        <f>SUMPRODUCT($B$4:$B$6,1-NORMSDIST((LN(SQRT(D40*E40))-LN($C$4:$C$6))/$B$9))</f>
        <v/>
      </c>
      <c r="G40" s="9">
        <f>IF(I39&gt;0.75,SQRT(G39*H39),G39)</f>
        <v/>
      </c>
      <c r="H40" s="9">
        <f>IF(I39&gt;0.75,H39,SQRT(G39*H39))</f>
        <v/>
      </c>
      <c r="I40" s="47">
        <f>SUMPRODUCT($B$4:$B$6,1-NORMSDIST((LN(SQRT(G40*H40))-LN($C$4:$C$6))/$B$9))</f>
        <v/>
      </c>
      <c r="J40" s="9">
        <f>IF(L39&gt;0.25,SQRT(J39*K39),J39)</f>
        <v/>
      </c>
      <c r="K40" s="9">
        <f>IF(L39&gt;0.25,K39,SQRT(J39*K39))</f>
        <v/>
      </c>
      <c r="L40" s="47">
        <f>SUMPRODUCT($B$4:$B$6,1-NORMSDIST((LN(SQRT(J40*K40))-LN($C$4:$C$6))/$B$9))</f>
        <v/>
      </c>
      <c r="M40" s="9">
        <f>IF(O39&gt;0.09999999999999998,SQRT(M39*N39),M39)</f>
        <v/>
      </c>
      <c r="N40" s="9">
        <f>IF(O39&gt;0.09999999999999998,N39,SQRT(M39*N39))</f>
        <v/>
      </c>
      <c r="O40" s="47">
        <f>SUMPRODUCT($B$4:$B$6,1-NORMSDIST((LN(SQRT(M40*N40))-LN($C$4:$C$6))/$B$9))</f>
        <v/>
      </c>
    </row>
    <row r="41">
      <c r="A41" s="9">
        <f>IF(C40&gt;0.5,SQRT(A40*B40),A40)</f>
        <v/>
      </c>
      <c r="B41" s="9">
        <f>IF(C40&gt;0.5,B40,SQRT(A40*B40))</f>
        <v/>
      </c>
      <c r="C41" s="47">
        <f>SUMPRODUCT($B$4:$B$6,1-NORMSDIST((LN(SQRT(A41*B41))-LN($C$4:$C$6))/$B$9))</f>
        <v/>
      </c>
      <c r="D41" s="9">
        <f>IF(F40&gt;0.9,SQRT(D40*E40),D40)</f>
        <v/>
      </c>
      <c r="E41" s="9">
        <f>IF(F40&gt;0.9,E40,SQRT(D40*E40))</f>
        <v/>
      </c>
      <c r="F41" s="47">
        <f>SUMPRODUCT($B$4:$B$6,1-NORMSDIST((LN(SQRT(D41*E41))-LN($C$4:$C$6))/$B$9))</f>
        <v/>
      </c>
      <c r="G41" s="9">
        <f>IF(I40&gt;0.75,SQRT(G40*H40),G40)</f>
        <v/>
      </c>
      <c r="H41" s="9">
        <f>IF(I40&gt;0.75,H40,SQRT(G40*H40))</f>
        <v/>
      </c>
      <c r="I41" s="47">
        <f>SUMPRODUCT($B$4:$B$6,1-NORMSDIST((LN(SQRT(G41*H41))-LN($C$4:$C$6))/$B$9))</f>
        <v/>
      </c>
      <c r="J41" s="9">
        <f>IF(L40&gt;0.25,SQRT(J40*K40),J40)</f>
        <v/>
      </c>
      <c r="K41" s="9">
        <f>IF(L40&gt;0.25,K40,SQRT(J40*K40))</f>
        <v/>
      </c>
      <c r="L41" s="47">
        <f>SUMPRODUCT($B$4:$B$6,1-NORMSDIST((LN(SQRT(J41*K41))-LN($C$4:$C$6))/$B$9))</f>
        <v/>
      </c>
      <c r="M41" s="9">
        <f>IF(O40&gt;0.09999999999999998,SQRT(M40*N40),M40)</f>
        <v/>
      </c>
      <c r="N41" s="9">
        <f>IF(O40&gt;0.09999999999999998,N40,SQRT(M40*N40))</f>
        <v/>
      </c>
      <c r="O41" s="47">
        <f>SUMPRODUCT($B$4:$B$6,1-NORMSDIST((LN(SQRT(M41*N41))-LN($C$4:$C$6))/$B$9))</f>
        <v/>
      </c>
    </row>
    <row r="42">
      <c r="A42" s="9">
        <f>IF(C41&gt;0.5,SQRT(A41*B41),A41)</f>
        <v/>
      </c>
      <c r="B42" s="9">
        <f>IF(C41&gt;0.5,B41,SQRT(A41*B41))</f>
        <v/>
      </c>
      <c r="C42" s="47">
        <f>SUMPRODUCT($B$4:$B$6,1-NORMSDIST((LN(SQRT(A42*B42))-LN($C$4:$C$6))/$B$9))</f>
        <v/>
      </c>
      <c r="D42" s="9">
        <f>IF(F41&gt;0.9,SQRT(D41*E41),D41)</f>
        <v/>
      </c>
      <c r="E42" s="9">
        <f>IF(F41&gt;0.9,E41,SQRT(D41*E41))</f>
        <v/>
      </c>
      <c r="F42" s="47">
        <f>SUMPRODUCT($B$4:$B$6,1-NORMSDIST((LN(SQRT(D42*E42))-LN($C$4:$C$6))/$B$9))</f>
        <v/>
      </c>
      <c r="G42" s="9">
        <f>IF(I41&gt;0.75,SQRT(G41*H41),G41)</f>
        <v/>
      </c>
      <c r="H42" s="9">
        <f>IF(I41&gt;0.75,H41,SQRT(G41*H41))</f>
        <v/>
      </c>
      <c r="I42" s="47">
        <f>SUMPRODUCT($B$4:$B$6,1-NORMSDIST((LN(SQRT(G42*H42))-LN($C$4:$C$6))/$B$9))</f>
        <v/>
      </c>
      <c r="J42" s="9">
        <f>IF(L41&gt;0.25,SQRT(J41*K41),J41)</f>
        <v/>
      </c>
      <c r="K42" s="9">
        <f>IF(L41&gt;0.25,K41,SQRT(J41*K41))</f>
        <v/>
      </c>
      <c r="L42" s="47">
        <f>SUMPRODUCT($B$4:$B$6,1-NORMSDIST((LN(SQRT(J42*K42))-LN($C$4:$C$6))/$B$9))</f>
        <v/>
      </c>
      <c r="M42" s="9">
        <f>IF(O41&gt;0.09999999999999998,SQRT(M41*N41),M41)</f>
        <v/>
      </c>
      <c r="N42" s="9">
        <f>IF(O41&gt;0.09999999999999998,N41,SQRT(M41*N41))</f>
        <v/>
      </c>
      <c r="O42" s="47">
        <f>SUMPRODUCT($B$4:$B$6,1-NORMSDIST((LN(SQRT(M42*N42))-LN($C$4:$C$6))/$B$9))</f>
        <v/>
      </c>
    </row>
    <row r="43">
      <c r="A43" s="9">
        <f>IF(C42&gt;0.5,SQRT(A42*B42),A42)</f>
        <v/>
      </c>
      <c r="B43" s="9">
        <f>IF(C42&gt;0.5,B42,SQRT(A42*B42))</f>
        <v/>
      </c>
      <c r="C43" s="47">
        <f>SUMPRODUCT($B$4:$B$6,1-NORMSDIST((LN(SQRT(A43*B43))-LN($C$4:$C$6))/$B$9))</f>
        <v/>
      </c>
      <c r="D43" s="9">
        <f>IF(F42&gt;0.9,SQRT(D42*E42),D42)</f>
        <v/>
      </c>
      <c r="E43" s="9">
        <f>IF(F42&gt;0.9,E42,SQRT(D42*E42))</f>
        <v/>
      </c>
      <c r="F43" s="47">
        <f>SUMPRODUCT($B$4:$B$6,1-NORMSDIST((LN(SQRT(D43*E43))-LN($C$4:$C$6))/$B$9))</f>
        <v/>
      </c>
      <c r="G43" s="9">
        <f>IF(I42&gt;0.75,SQRT(G42*H42),G42)</f>
        <v/>
      </c>
      <c r="H43" s="9">
        <f>IF(I42&gt;0.75,H42,SQRT(G42*H42))</f>
        <v/>
      </c>
      <c r="I43" s="47">
        <f>SUMPRODUCT($B$4:$B$6,1-NORMSDIST((LN(SQRT(G43*H43))-LN($C$4:$C$6))/$B$9))</f>
        <v/>
      </c>
      <c r="J43" s="9">
        <f>IF(L42&gt;0.25,SQRT(J42*K42),J42)</f>
        <v/>
      </c>
      <c r="K43" s="9">
        <f>IF(L42&gt;0.25,K42,SQRT(J42*K42))</f>
        <v/>
      </c>
      <c r="L43" s="47">
        <f>SUMPRODUCT($B$4:$B$6,1-NORMSDIST((LN(SQRT(J43*K43))-LN($C$4:$C$6))/$B$9))</f>
        <v/>
      </c>
      <c r="M43" s="9">
        <f>IF(O42&gt;0.09999999999999998,SQRT(M42*N42),M42)</f>
        <v/>
      </c>
      <c r="N43" s="9">
        <f>IF(O42&gt;0.09999999999999998,N42,SQRT(M42*N42))</f>
        <v/>
      </c>
      <c r="O43" s="47">
        <f>SUMPRODUCT($B$4:$B$6,1-NORMSDIST((LN(SQRT(M43*N43))-LN($C$4:$C$6))/$B$9))</f>
        <v/>
      </c>
    </row>
    <row r="44">
      <c r="A44" s="9">
        <f>IF(C43&gt;0.5,SQRT(A43*B43),A43)</f>
        <v/>
      </c>
      <c r="B44" s="9">
        <f>IF(C43&gt;0.5,B43,SQRT(A43*B43))</f>
        <v/>
      </c>
      <c r="C44" s="47">
        <f>SUMPRODUCT($B$4:$B$6,1-NORMSDIST((LN(SQRT(A44*B44))-LN($C$4:$C$6))/$B$9))</f>
        <v/>
      </c>
      <c r="D44" s="9">
        <f>IF(F43&gt;0.9,SQRT(D43*E43),D43)</f>
        <v/>
      </c>
      <c r="E44" s="9">
        <f>IF(F43&gt;0.9,E43,SQRT(D43*E43))</f>
        <v/>
      </c>
      <c r="F44" s="47">
        <f>SUMPRODUCT($B$4:$B$6,1-NORMSDIST((LN(SQRT(D44*E44))-LN($C$4:$C$6))/$B$9))</f>
        <v/>
      </c>
      <c r="G44" s="9">
        <f>IF(I43&gt;0.75,SQRT(G43*H43),G43)</f>
        <v/>
      </c>
      <c r="H44" s="9">
        <f>IF(I43&gt;0.75,H43,SQRT(G43*H43))</f>
        <v/>
      </c>
      <c r="I44" s="47">
        <f>SUMPRODUCT($B$4:$B$6,1-NORMSDIST((LN(SQRT(G44*H44))-LN($C$4:$C$6))/$B$9))</f>
        <v/>
      </c>
      <c r="J44" s="9">
        <f>IF(L43&gt;0.25,SQRT(J43*K43),J43)</f>
        <v/>
      </c>
      <c r="K44" s="9">
        <f>IF(L43&gt;0.25,K43,SQRT(J43*K43))</f>
        <v/>
      </c>
      <c r="L44" s="47">
        <f>SUMPRODUCT($B$4:$B$6,1-NORMSDIST((LN(SQRT(J44*K44))-LN($C$4:$C$6))/$B$9))</f>
        <v/>
      </c>
      <c r="M44" s="9">
        <f>IF(O43&gt;0.09999999999999998,SQRT(M43*N43),M43)</f>
        <v/>
      </c>
      <c r="N44" s="9">
        <f>IF(O43&gt;0.09999999999999998,N43,SQRT(M43*N43))</f>
        <v/>
      </c>
      <c r="O44" s="47">
        <f>SUMPRODUCT($B$4:$B$6,1-NORMSDIST((LN(SQRT(M44*N44))-LN($C$4:$C$6))/$B$9))</f>
        <v/>
      </c>
    </row>
    <row r="45">
      <c r="A45" s="9">
        <f>IF(C44&gt;0.5,SQRT(A44*B44),A44)</f>
        <v/>
      </c>
      <c r="B45" s="9">
        <f>IF(C44&gt;0.5,B44,SQRT(A44*B44))</f>
        <v/>
      </c>
      <c r="C45" s="47">
        <f>SUMPRODUCT($B$4:$B$6,1-NORMSDIST((LN(SQRT(A45*B45))-LN($C$4:$C$6))/$B$9))</f>
        <v/>
      </c>
      <c r="D45" s="9">
        <f>IF(F44&gt;0.9,SQRT(D44*E44),D44)</f>
        <v/>
      </c>
      <c r="E45" s="9">
        <f>IF(F44&gt;0.9,E44,SQRT(D44*E44))</f>
        <v/>
      </c>
      <c r="F45" s="47">
        <f>SUMPRODUCT($B$4:$B$6,1-NORMSDIST((LN(SQRT(D45*E45))-LN($C$4:$C$6))/$B$9))</f>
        <v/>
      </c>
      <c r="G45" s="9">
        <f>IF(I44&gt;0.75,SQRT(G44*H44),G44)</f>
        <v/>
      </c>
      <c r="H45" s="9">
        <f>IF(I44&gt;0.75,H44,SQRT(G44*H44))</f>
        <v/>
      </c>
      <c r="I45" s="47">
        <f>SUMPRODUCT($B$4:$B$6,1-NORMSDIST((LN(SQRT(G45*H45))-LN($C$4:$C$6))/$B$9))</f>
        <v/>
      </c>
      <c r="J45" s="9">
        <f>IF(L44&gt;0.25,SQRT(J44*K44),J44)</f>
        <v/>
      </c>
      <c r="K45" s="9">
        <f>IF(L44&gt;0.25,K44,SQRT(J44*K44))</f>
        <v/>
      </c>
      <c r="L45" s="47">
        <f>SUMPRODUCT($B$4:$B$6,1-NORMSDIST((LN(SQRT(J45*K45))-LN($C$4:$C$6))/$B$9))</f>
        <v/>
      </c>
      <c r="M45" s="9">
        <f>IF(O44&gt;0.09999999999999998,SQRT(M44*N44),M44)</f>
        <v/>
      </c>
      <c r="N45" s="9">
        <f>IF(O44&gt;0.09999999999999998,N44,SQRT(M44*N44))</f>
        <v/>
      </c>
      <c r="O45" s="47">
        <f>SUMPRODUCT($B$4:$B$6,1-NORMSDIST((LN(SQRT(M45*N45))-LN($C$4:$C$6))/$B$9))</f>
        <v/>
      </c>
    </row>
    <row r="46">
      <c r="A46" s="9">
        <f>IF(C45&gt;0.5,SQRT(A45*B45),A45)</f>
        <v/>
      </c>
      <c r="B46" s="9">
        <f>IF(C45&gt;0.5,B45,SQRT(A45*B45))</f>
        <v/>
      </c>
      <c r="C46" s="47">
        <f>SUMPRODUCT($B$4:$B$6,1-NORMSDIST((LN(SQRT(A46*B46))-LN($C$4:$C$6))/$B$9))</f>
        <v/>
      </c>
      <c r="D46" s="9">
        <f>IF(F45&gt;0.9,SQRT(D45*E45),D45)</f>
        <v/>
      </c>
      <c r="E46" s="9">
        <f>IF(F45&gt;0.9,E45,SQRT(D45*E45))</f>
        <v/>
      </c>
      <c r="F46" s="47">
        <f>SUMPRODUCT($B$4:$B$6,1-NORMSDIST((LN(SQRT(D46*E46))-LN($C$4:$C$6))/$B$9))</f>
        <v/>
      </c>
      <c r="G46" s="9">
        <f>IF(I45&gt;0.75,SQRT(G45*H45),G45)</f>
        <v/>
      </c>
      <c r="H46" s="9">
        <f>IF(I45&gt;0.75,H45,SQRT(G45*H45))</f>
        <v/>
      </c>
      <c r="I46" s="47">
        <f>SUMPRODUCT($B$4:$B$6,1-NORMSDIST((LN(SQRT(G46*H46))-LN($C$4:$C$6))/$B$9))</f>
        <v/>
      </c>
      <c r="J46" s="9">
        <f>IF(L45&gt;0.25,SQRT(J45*K45),J45)</f>
        <v/>
      </c>
      <c r="K46" s="9">
        <f>IF(L45&gt;0.25,K45,SQRT(J45*K45))</f>
        <v/>
      </c>
      <c r="L46" s="47">
        <f>SUMPRODUCT($B$4:$B$6,1-NORMSDIST((LN(SQRT(J46*K46))-LN($C$4:$C$6))/$B$9))</f>
        <v/>
      </c>
      <c r="M46" s="9">
        <f>IF(O45&gt;0.09999999999999998,SQRT(M45*N45),M45)</f>
        <v/>
      </c>
      <c r="N46" s="9">
        <f>IF(O45&gt;0.09999999999999998,N45,SQRT(M45*N45))</f>
        <v/>
      </c>
      <c r="O46" s="47">
        <f>SUMPRODUCT($B$4:$B$6,1-NORMSDIST((LN(SQRT(M46*N46))-LN($C$4:$C$6))/$B$9))</f>
        <v/>
      </c>
    </row>
    <row r="47">
      <c r="A47" s="9">
        <f>IF(C46&gt;0.5,SQRT(A46*B46),A46)</f>
        <v/>
      </c>
      <c r="B47" s="9">
        <f>IF(C46&gt;0.5,B46,SQRT(A46*B46))</f>
        <v/>
      </c>
      <c r="C47" s="47">
        <f>SUMPRODUCT($B$4:$B$6,1-NORMSDIST((LN(SQRT(A47*B47))-LN($C$4:$C$6))/$B$9))</f>
        <v/>
      </c>
      <c r="D47" s="9">
        <f>IF(F46&gt;0.9,SQRT(D46*E46),D46)</f>
        <v/>
      </c>
      <c r="E47" s="9">
        <f>IF(F46&gt;0.9,E46,SQRT(D46*E46))</f>
        <v/>
      </c>
      <c r="F47" s="47">
        <f>SUMPRODUCT($B$4:$B$6,1-NORMSDIST((LN(SQRT(D47*E47))-LN($C$4:$C$6))/$B$9))</f>
        <v/>
      </c>
      <c r="G47" s="9">
        <f>IF(I46&gt;0.75,SQRT(G46*H46),G46)</f>
        <v/>
      </c>
      <c r="H47" s="9">
        <f>IF(I46&gt;0.75,H46,SQRT(G46*H46))</f>
        <v/>
      </c>
      <c r="I47" s="47">
        <f>SUMPRODUCT($B$4:$B$6,1-NORMSDIST((LN(SQRT(G47*H47))-LN($C$4:$C$6))/$B$9))</f>
        <v/>
      </c>
      <c r="J47" s="9">
        <f>IF(L46&gt;0.25,SQRT(J46*K46),J46)</f>
        <v/>
      </c>
      <c r="K47" s="9">
        <f>IF(L46&gt;0.25,K46,SQRT(J46*K46))</f>
        <v/>
      </c>
      <c r="L47" s="47">
        <f>SUMPRODUCT($B$4:$B$6,1-NORMSDIST((LN(SQRT(J47*K47))-LN($C$4:$C$6))/$B$9))</f>
        <v/>
      </c>
      <c r="M47" s="9">
        <f>IF(O46&gt;0.09999999999999998,SQRT(M46*N46),M46)</f>
        <v/>
      </c>
      <c r="N47" s="9">
        <f>IF(O46&gt;0.09999999999999998,N46,SQRT(M46*N46))</f>
        <v/>
      </c>
      <c r="O47" s="47">
        <f>SUMPRODUCT($B$4:$B$6,1-NORMSDIST((LN(SQRT(M47*N47))-LN($C$4:$C$6))/$B$9))</f>
        <v/>
      </c>
    </row>
    <row r="48">
      <c r="A48" s="9">
        <f>IF(C47&gt;0.5,SQRT(A47*B47),A47)</f>
        <v/>
      </c>
      <c r="B48" s="9">
        <f>IF(C47&gt;0.5,B47,SQRT(A47*B47))</f>
        <v/>
      </c>
      <c r="C48" s="47">
        <f>SUMPRODUCT($B$4:$B$6,1-NORMSDIST((LN(SQRT(A48*B48))-LN($C$4:$C$6))/$B$9))</f>
        <v/>
      </c>
      <c r="D48" s="9">
        <f>IF(F47&gt;0.9,SQRT(D47*E47),D47)</f>
        <v/>
      </c>
      <c r="E48" s="9">
        <f>IF(F47&gt;0.9,E47,SQRT(D47*E47))</f>
        <v/>
      </c>
      <c r="F48" s="47">
        <f>SUMPRODUCT($B$4:$B$6,1-NORMSDIST((LN(SQRT(D48*E48))-LN($C$4:$C$6))/$B$9))</f>
        <v/>
      </c>
      <c r="G48" s="9">
        <f>IF(I47&gt;0.75,SQRT(G47*H47),G47)</f>
        <v/>
      </c>
      <c r="H48" s="9">
        <f>IF(I47&gt;0.75,H47,SQRT(G47*H47))</f>
        <v/>
      </c>
      <c r="I48" s="47">
        <f>SUMPRODUCT($B$4:$B$6,1-NORMSDIST((LN(SQRT(G48*H48))-LN($C$4:$C$6))/$B$9))</f>
        <v/>
      </c>
      <c r="J48" s="9">
        <f>IF(L47&gt;0.25,SQRT(J47*K47),J47)</f>
        <v/>
      </c>
      <c r="K48" s="9">
        <f>IF(L47&gt;0.25,K47,SQRT(J47*K47))</f>
        <v/>
      </c>
      <c r="L48" s="47">
        <f>SUMPRODUCT($B$4:$B$6,1-NORMSDIST((LN(SQRT(J48*K48))-LN($C$4:$C$6))/$B$9))</f>
        <v/>
      </c>
      <c r="M48" s="9">
        <f>IF(O47&gt;0.09999999999999998,SQRT(M47*N47),M47)</f>
        <v/>
      </c>
      <c r="N48" s="9">
        <f>IF(O47&gt;0.09999999999999998,N47,SQRT(M47*N47))</f>
        <v/>
      </c>
      <c r="O48" s="47">
        <f>SUMPRODUCT($B$4:$B$6,1-NORMSDIST((LN(SQRT(M48*N48))-LN($C$4:$C$6))/$B$9))</f>
        <v/>
      </c>
    </row>
    <row r="49">
      <c r="A49" s="9">
        <f>IF(C48&gt;0.5,SQRT(A48*B48),A48)</f>
        <v/>
      </c>
      <c r="B49" s="9">
        <f>IF(C48&gt;0.5,B48,SQRT(A48*B48))</f>
        <v/>
      </c>
      <c r="C49" s="47">
        <f>SUMPRODUCT($B$4:$B$6,1-NORMSDIST((LN(SQRT(A49*B49))-LN($C$4:$C$6))/$B$9))</f>
        <v/>
      </c>
      <c r="D49" s="9">
        <f>IF(F48&gt;0.9,SQRT(D48*E48),D48)</f>
        <v/>
      </c>
      <c r="E49" s="9">
        <f>IF(F48&gt;0.9,E48,SQRT(D48*E48))</f>
        <v/>
      </c>
      <c r="F49" s="47">
        <f>SUMPRODUCT($B$4:$B$6,1-NORMSDIST((LN(SQRT(D49*E49))-LN($C$4:$C$6))/$B$9))</f>
        <v/>
      </c>
      <c r="G49" s="9">
        <f>IF(I48&gt;0.75,SQRT(G48*H48),G48)</f>
        <v/>
      </c>
      <c r="H49" s="9">
        <f>IF(I48&gt;0.75,H48,SQRT(G48*H48))</f>
        <v/>
      </c>
      <c r="I49" s="47">
        <f>SUMPRODUCT($B$4:$B$6,1-NORMSDIST((LN(SQRT(G49*H49))-LN($C$4:$C$6))/$B$9))</f>
        <v/>
      </c>
      <c r="J49" s="9">
        <f>IF(L48&gt;0.25,SQRT(J48*K48),J48)</f>
        <v/>
      </c>
      <c r="K49" s="9">
        <f>IF(L48&gt;0.25,K48,SQRT(J48*K48))</f>
        <v/>
      </c>
      <c r="L49" s="47">
        <f>SUMPRODUCT($B$4:$B$6,1-NORMSDIST((LN(SQRT(J49*K49))-LN($C$4:$C$6))/$B$9))</f>
        <v/>
      </c>
      <c r="M49" s="9">
        <f>IF(O48&gt;0.09999999999999998,SQRT(M48*N48),M48)</f>
        <v/>
      </c>
      <c r="N49" s="9">
        <f>IF(O48&gt;0.09999999999999998,N48,SQRT(M48*N48))</f>
        <v/>
      </c>
      <c r="O49" s="47">
        <f>SUMPRODUCT($B$4:$B$6,1-NORMSDIST((LN(SQRT(M49*N49))-LN($C$4:$C$6))/$B$9))</f>
        <v/>
      </c>
    </row>
    <row r="50">
      <c r="A50" s="9">
        <f>IF(C49&gt;0.5,SQRT(A49*B49),A49)</f>
        <v/>
      </c>
      <c r="B50" s="9">
        <f>IF(C49&gt;0.5,B49,SQRT(A49*B49))</f>
        <v/>
      </c>
      <c r="C50" s="47">
        <f>SUMPRODUCT($B$4:$B$6,1-NORMSDIST((LN(SQRT(A50*B50))-LN($C$4:$C$6))/$B$9))</f>
        <v/>
      </c>
      <c r="D50" s="9">
        <f>IF(F49&gt;0.9,SQRT(D49*E49),D49)</f>
        <v/>
      </c>
      <c r="E50" s="9">
        <f>IF(F49&gt;0.9,E49,SQRT(D49*E49))</f>
        <v/>
      </c>
      <c r="F50" s="47">
        <f>SUMPRODUCT($B$4:$B$6,1-NORMSDIST((LN(SQRT(D50*E50))-LN($C$4:$C$6))/$B$9))</f>
        <v/>
      </c>
      <c r="G50" s="9">
        <f>IF(I49&gt;0.75,SQRT(G49*H49),G49)</f>
        <v/>
      </c>
      <c r="H50" s="9">
        <f>IF(I49&gt;0.75,H49,SQRT(G49*H49))</f>
        <v/>
      </c>
      <c r="I50" s="47">
        <f>SUMPRODUCT($B$4:$B$6,1-NORMSDIST((LN(SQRT(G50*H50))-LN($C$4:$C$6))/$B$9))</f>
        <v/>
      </c>
      <c r="J50" s="9">
        <f>IF(L49&gt;0.25,SQRT(J49*K49),J49)</f>
        <v/>
      </c>
      <c r="K50" s="9">
        <f>IF(L49&gt;0.25,K49,SQRT(J49*K49))</f>
        <v/>
      </c>
      <c r="L50" s="47">
        <f>SUMPRODUCT($B$4:$B$6,1-NORMSDIST((LN(SQRT(J50*K50))-LN($C$4:$C$6))/$B$9))</f>
        <v/>
      </c>
      <c r="M50" s="9">
        <f>IF(O49&gt;0.09999999999999998,SQRT(M49*N49),M49)</f>
        <v/>
      </c>
      <c r="N50" s="9">
        <f>IF(O49&gt;0.09999999999999998,N49,SQRT(M49*N49))</f>
        <v/>
      </c>
      <c r="O50" s="47">
        <f>SUMPRODUCT($B$4:$B$6,1-NORMSDIST((LN(SQRT(M50*N50))-LN($C$4:$C$6))/$B$9))</f>
        <v/>
      </c>
    </row>
    <row r="51">
      <c r="A51" s="9">
        <f>IF(C50&gt;0.5,SQRT(A50*B50),A50)</f>
        <v/>
      </c>
      <c r="B51" s="9">
        <f>IF(C50&gt;0.5,B50,SQRT(A50*B50))</f>
        <v/>
      </c>
      <c r="C51" s="47">
        <f>SUMPRODUCT($B$4:$B$6,1-NORMSDIST((LN(SQRT(A51*B51))-LN($C$4:$C$6))/$B$9))</f>
        <v/>
      </c>
      <c r="D51" s="9">
        <f>IF(F50&gt;0.9,SQRT(D50*E50),D50)</f>
        <v/>
      </c>
      <c r="E51" s="9">
        <f>IF(F50&gt;0.9,E50,SQRT(D50*E50))</f>
        <v/>
      </c>
      <c r="F51" s="47">
        <f>SUMPRODUCT($B$4:$B$6,1-NORMSDIST((LN(SQRT(D51*E51))-LN($C$4:$C$6))/$B$9))</f>
        <v/>
      </c>
      <c r="G51" s="9">
        <f>IF(I50&gt;0.75,SQRT(G50*H50),G50)</f>
        <v/>
      </c>
      <c r="H51" s="9">
        <f>IF(I50&gt;0.75,H50,SQRT(G50*H50))</f>
        <v/>
      </c>
      <c r="I51" s="47">
        <f>SUMPRODUCT($B$4:$B$6,1-NORMSDIST((LN(SQRT(G51*H51))-LN($C$4:$C$6))/$B$9))</f>
        <v/>
      </c>
      <c r="J51" s="9">
        <f>IF(L50&gt;0.25,SQRT(J50*K50),J50)</f>
        <v/>
      </c>
      <c r="K51" s="9">
        <f>IF(L50&gt;0.25,K50,SQRT(J50*K50))</f>
        <v/>
      </c>
      <c r="L51" s="47">
        <f>SUMPRODUCT($B$4:$B$6,1-NORMSDIST((LN(SQRT(J51*K51))-LN($C$4:$C$6))/$B$9))</f>
        <v/>
      </c>
      <c r="M51" s="9">
        <f>IF(O50&gt;0.09999999999999998,SQRT(M50*N50),M50)</f>
        <v/>
      </c>
      <c r="N51" s="9">
        <f>IF(O50&gt;0.09999999999999998,N50,SQRT(M50*N50))</f>
        <v/>
      </c>
      <c r="O51" s="47">
        <f>SUMPRODUCT($B$4:$B$6,1-NORMSDIST((LN(SQRT(M51*N51))-LN($C$4:$C$6))/$B$9))</f>
        <v/>
      </c>
    </row>
    <row r="52">
      <c r="A52" s="9">
        <f>IF(C51&gt;0.5,SQRT(A51*B51),A51)</f>
        <v/>
      </c>
      <c r="B52" s="9">
        <f>IF(C51&gt;0.5,B51,SQRT(A51*B51))</f>
        <v/>
      </c>
      <c r="C52" s="47">
        <f>SUMPRODUCT($B$4:$B$6,1-NORMSDIST((LN(SQRT(A52*B52))-LN($C$4:$C$6))/$B$9))</f>
        <v/>
      </c>
      <c r="D52" s="9">
        <f>IF(F51&gt;0.9,SQRT(D51*E51),D51)</f>
        <v/>
      </c>
      <c r="E52" s="9">
        <f>IF(F51&gt;0.9,E51,SQRT(D51*E51))</f>
        <v/>
      </c>
      <c r="F52" s="47">
        <f>SUMPRODUCT($B$4:$B$6,1-NORMSDIST((LN(SQRT(D52*E52))-LN($C$4:$C$6))/$B$9))</f>
        <v/>
      </c>
      <c r="G52" s="9">
        <f>IF(I51&gt;0.75,SQRT(G51*H51),G51)</f>
        <v/>
      </c>
      <c r="H52" s="9">
        <f>IF(I51&gt;0.75,H51,SQRT(G51*H51))</f>
        <v/>
      </c>
      <c r="I52" s="47">
        <f>SUMPRODUCT($B$4:$B$6,1-NORMSDIST((LN(SQRT(G52*H52))-LN($C$4:$C$6))/$B$9))</f>
        <v/>
      </c>
      <c r="J52" s="9">
        <f>IF(L51&gt;0.25,SQRT(J51*K51),J51)</f>
        <v/>
      </c>
      <c r="K52" s="9">
        <f>IF(L51&gt;0.25,K51,SQRT(J51*K51))</f>
        <v/>
      </c>
      <c r="L52" s="47">
        <f>SUMPRODUCT($B$4:$B$6,1-NORMSDIST((LN(SQRT(J52*K52))-LN($C$4:$C$6))/$B$9))</f>
        <v/>
      </c>
      <c r="M52" s="9">
        <f>IF(O51&gt;0.09999999999999998,SQRT(M51*N51),M51)</f>
        <v/>
      </c>
      <c r="N52" s="9">
        <f>IF(O51&gt;0.09999999999999998,N51,SQRT(M51*N51))</f>
        <v/>
      </c>
      <c r="O52" s="47">
        <f>SUMPRODUCT($B$4:$B$6,1-NORMSDIST((LN(SQRT(M52*N52))-LN($C$4:$C$6))/$B$9))</f>
        <v/>
      </c>
    </row>
    <row r="53">
      <c r="A53" s="9">
        <f>IF(C52&gt;0.5,SQRT(A52*B52),A52)</f>
        <v/>
      </c>
      <c r="B53" s="9">
        <f>IF(C52&gt;0.5,B52,SQRT(A52*B52))</f>
        <v/>
      </c>
      <c r="C53" s="47">
        <f>SUMPRODUCT($B$4:$B$6,1-NORMSDIST((LN(SQRT(A53*B53))-LN($C$4:$C$6))/$B$9))</f>
        <v/>
      </c>
      <c r="D53" s="9">
        <f>IF(F52&gt;0.9,SQRT(D52*E52),D52)</f>
        <v/>
      </c>
      <c r="E53" s="9">
        <f>IF(F52&gt;0.9,E52,SQRT(D52*E52))</f>
        <v/>
      </c>
      <c r="F53" s="47">
        <f>SUMPRODUCT($B$4:$B$6,1-NORMSDIST((LN(SQRT(D53*E53))-LN($C$4:$C$6))/$B$9))</f>
        <v/>
      </c>
      <c r="G53" s="9">
        <f>IF(I52&gt;0.75,SQRT(G52*H52),G52)</f>
        <v/>
      </c>
      <c r="H53" s="9">
        <f>IF(I52&gt;0.75,H52,SQRT(G52*H52))</f>
        <v/>
      </c>
      <c r="I53" s="47">
        <f>SUMPRODUCT($B$4:$B$6,1-NORMSDIST((LN(SQRT(G53*H53))-LN($C$4:$C$6))/$B$9))</f>
        <v/>
      </c>
      <c r="J53" s="9">
        <f>IF(L52&gt;0.25,SQRT(J52*K52),J52)</f>
        <v/>
      </c>
      <c r="K53" s="9">
        <f>IF(L52&gt;0.25,K52,SQRT(J52*K52))</f>
        <v/>
      </c>
      <c r="L53" s="47">
        <f>SUMPRODUCT($B$4:$B$6,1-NORMSDIST((LN(SQRT(J53*K53))-LN($C$4:$C$6))/$B$9))</f>
        <v/>
      </c>
      <c r="M53" s="9">
        <f>IF(O52&gt;0.09999999999999998,SQRT(M52*N52),M52)</f>
        <v/>
      </c>
      <c r="N53" s="9">
        <f>IF(O52&gt;0.09999999999999998,N52,SQRT(M52*N52))</f>
        <v/>
      </c>
      <c r="O53" s="47">
        <f>SUMPRODUCT($B$4:$B$6,1-NORMSDIST((LN(SQRT(M53*N53))-LN($C$4:$C$6))/$B$9))</f>
        <v/>
      </c>
    </row>
    <row r="54">
      <c r="A54" s="9">
        <f>IF(C53&gt;0.5,SQRT(A53*B53),A53)</f>
        <v/>
      </c>
      <c r="B54" s="9">
        <f>IF(C53&gt;0.5,B53,SQRT(A53*B53))</f>
        <v/>
      </c>
      <c r="C54" s="47">
        <f>SUMPRODUCT($B$4:$B$6,1-NORMSDIST((LN(SQRT(A54*B54))-LN($C$4:$C$6))/$B$9))</f>
        <v/>
      </c>
      <c r="D54" s="9">
        <f>IF(F53&gt;0.9,SQRT(D53*E53),D53)</f>
        <v/>
      </c>
      <c r="E54" s="9">
        <f>IF(F53&gt;0.9,E53,SQRT(D53*E53))</f>
        <v/>
      </c>
      <c r="F54" s="47">
        <f>SUMPRODUCT($B$4:$B$6,1-NORMSDIST((LN(SQRT(D54*E54))-LN($C$4:$C$6))/$B$9))</f>
        <v/>
      </c>
      <c r="G54" s="9">
        <f>IF(I53&gt;0.75,SQRT(G53*H53),G53)</f>
        <v/>
      </c>
      <c r="H54" s="9">
        <f>IF(I53&gt;0.75,H53,SQRT(G53*H53))</f>
        <v/>
      </c>
      <c r="I54" s="47">
        <f>SUMPRODUCT($B$4:$B$6,1-NORMSDIST((LN(SQRT(G54*H54))-LN($C$4:$C$6))/$B$9))</f>
        <v/>
      </c>
      <c r="J54" s="9">
        <f>IF(L53&gt;0.25,SQRT(J53*K53),J53)</f>
        <v/>
      </c>
      <c r="K54" s="9">
        <f>IF(L53&gt;0.25,K53,SQRT(J53*K53))</f>
        <v/>
      </c>
      <c r="L54" s="47">
        <f>SUMPRODUCT($B$4:$B$6,1-NORMSDIST((LN(SQRT(J54*K54))-LN($C$4:$C$6))/$B$9))</f>
        <v/>
      </c>
      <c r="M54" s="9">
        <f>IF(O53&gt;0.09999999999999998,SQRT(M53*N53),M53)</f>
        <v/>
      </c>
      <c r="N54" s="9">
        <f>IF(O53&gt;0.09999999999999998,N53,SQRT(M53*N53))</f>
        <v/>
      </c>
      <c r="O54" s="47">
        <f>SUMPRODUCT($B$4:$B$6,1-NORMSDIST((LN(SQRT(M54*N54))-LN($C$4:$C$6))/$B$9))</f>
        <v/>
      </c>
    </row>
    <row r="55">
      <c r="A55" s="9">
        <f>IF(C54&gt;0.5,SQRT(A54*B54),A54)</f>
        <v/>
      </c>
      <c r="B55" s="9">
        <f>IF(C54&gt;0.5,B54,SQRT(A54*B54))</f>
        <v/>
      </c>
      <c r="C55" s="47">
        <f>SUMPRODUCT($B$4:$B$6,1-NORMSDIST((LN(SQRT(A55*B55))-LN($C$4:$C$6))/$B$9))</f>
        <v/>
      </c>
      <c r="D55" s="9">
        <f>IF(F54&gt;0.9,SQRT(D54*E54),D54)</f>
        <v/>
      </c>
      <c r="E55" s="9">
        <f>IF(F54&gt;0.9,E54,SQRT(D54*E54))</f>
        <v/>
      </c>
      <c r="F55" s="47">
        <f>SUMPRODUCT($B$4:$B$6,1-NORMSDIST((LN(SQRT(D55*E55))-LN($C$4:$C$6))/$B$9))</f>
        <v/>
      </c>
      <c r="G55" s="9">
        <f>IF(I54&gt;0.75,SQRT(G54*H54),G54)</f>
        <v/>
      </c>
      <c r="H55" s="9">
        <f>IF(I54&gt;0.75,H54,SQRT(G54*H54))</f>
        <v/>
      </c>
      <c r="I55" s="47">
        <f>SUMPRODUCT($B$4:$B$6,1-NORMSDIST((LN(SQRT(G55*H55))-LN($C$4:$C$6))/$B$9))</f>
        <v/>
      </c>
      <c r="J55" s="9">
        <f>IF(L54&gt;0.25,SQRT(J54*K54),J54)</f>
        <v/>
      </c>
      <c r="K55" s="9">
        <f>IF(L54&gt;0.25,K54,SQRT(J54*K54))</f>
        <v/>
      </c>
      <c r="L55" s="47">
        <f>SUMPRODUCT($B$4:$B$6,1-NORMSDIST((LN(SQRT(J55*K55))-LN($C$4:$C$6))/$B$9))</f>
        <v/>
      </c>
      <c r="M55" s="9">
        <f>IF(O54&gt;0.09999999999999998,SQRT(M54*N54),M54)</f>
        <v/>
      </c>
      <c r="N55" s="9">
        <f>IF(O54&gt;0.09999999999999998,N54,SQRT(M54*N54))</f>
        <v/>
      </c>
      <c r="O55" s="47">
        <f>SUMPRODUCT($B$4:$B$6,1-NORMSDIST((LN(SQRT(M55*N55))-LN($C$4:$C$6))/$B$9))</f>
        <v/>
      </c>
    </row>
    <row r="56">
      <c r="A56" s="9">
        <f>IF(C55&gt;0.5,SQRT(A55*B55),A55)</f>
        <v/>
      </c>
      <c r="B56" s="9">
        <f>IF(C55&gt;0.5,B55,SQRT(A55*B55))</f>
        <v/>
      </c>
      <c r="C56" s="47">
        <f>SUMPRODUCT($B$4:$B$6,1-NORMSDIST((LN(SQRT(A56*B56))-LN($C$4:$C$6))/$B$9))</f>
        <v/>
      </c>
      <c r="D56" s="9">
        <f>IF(F55&gt;0.9,SQRT(D55*E55),D55)</f>
        <v/>
      </c>
      <c r="E56" s="9">
        <f>IF(F55&gt;0.9,E55,SQRT(D55*E55))</f>
        <v/>
      </c>
      <c r="F56" s="47">
        <f>SUMPRODUCT($B$4:$B$6,1-NORMSDIST((LN(SQRT(D56*E56))-LN($C$4:$C$6))/$B$9))</f>
        <v/>
      </c>
      <c r="G56" s="9">
        <f>IF(I55&gt;0.75,SQRT(G55*H55),G55)</f>
        <v/>
      </c>
      <c r="H56" s="9">
        <f>IF(I55&gt;0.75,H55,SQRT(G55*H55))</f>
        <v/>
      </c>
      <c r="I56" s="47">
        <f>SUMPRODUCT($B$4:$B$6,1-NORMSDIST((LN(SQRT(G56*H56))-LN($C$4:$C$6))/$B$9))</f>
        <v/>
      </c>
      <c r="J56" s="9">
        <f>IF(L55&gt;0.25,SQRT(J55*K55),J55)</f>
        <v/>
      </c>
      <c r="K56" s="9">
        <f>IF(L55&gt;0.25,K55,SQRT(J55*K55))</f>
        <v/>
      </c>
      <c r="L56" s="47">
        <f>SUMPRODUCT($B$4:$B$6,1-NORMSDIST((LN(SQRT(J56*K56))-LN($C$4:$C$6))/$B$9))</f>
        <v/>
      </c>
      <c r="M56" s="9">
        <f>IF(O55&gt;0.09999999999999998,SQRT(M55*N55),M55)</f>
        <v/>
      </c>
      <c r="N56" s="9">
        <f>IF(O55&gt;0.09999999999999998,N55,SQRT(M55*N55))</f>
        <v/>
      </c>
      <c r="O56" s="47">
        <f>SUMPRODUCT($B$4:$B$6,1-NORMSDIST((LN(SQRT(M56*N56))-LN($C$4:$C$6))/$B$9))</f>
        <v/>
      </c>
    </row>
    <row r="57">
      <c r="A57" s="9">
        <f>IF(C56&gt;0.5,SQRT(A56*B56),A56)</f>
        <v/>
      </c>
      <c r="B57" s="9">
        <f>IF(C56&gt;0.5,B56,SQRT(A56*B56))</f>
        <v/>
      </c>
      <c r="C57" s="47">
        <f>SUMPRODUCT($B$4:$B$6,1-NORMSDIST((LN(SQRT(A57*B57))-LN($C$4:$C$6))/$B$9))</f>
        <v/>
      </c>
      <c r="D57" s="9">
        <f>IF(F56&gt;0.9,SQRT(D56*E56),D56)</f>
        <v/>
      </c>
      <c r="E57" s="9">
        <f>IF(F56&gt;0.9,E56,SQRT(D56*E56))</f>
        <v/>
      </c>
      <c r="F57" s="47">
        <f>SUMPRODUCT($B$4:$B$6,1-NORMSDIST((LN(SQRT(D57*E57))-LN($C$4:$C$6))/$B$9))</f>
        <v/>
      </c>
      <c r="G57" s="9">
        <f>IF(I56&gt;0.75,SQRT(G56*H56),G56)</f>
        <v/>
      </c>
      <c r="H57" s="9">
        <f>IF(I56&gt;0.75,H56,SQRT(G56*H56))</f>
        <v/>
      </c>
      <c r="I57" s="47">
        <f>SUMPRODUCT($B$4:$B$6,1-NORMSDIST((LN(SQRT(G57*H57))-LN($C$4:$C$6))/$B$9))</f>
        <v/>
      </c>
      <c r="J57" s="9">
        <f>IF(L56&gt;0.25,SQRT(J56*K56),J56)</f>
        <v/>
      </c>
      <c r="K57" s="9">
        <f>IF(L56&gt;0.25,K56,SQRT(J56*K56))</f>
        <v/>
      </c>
      <c r="L57" s="47">
        <f>SUMPRODUCT($B$4:$B$6,1-NORMSDIST((LN(SQRT(J57*K57))-LN($C$4:$C$6))/$B$9))</f>
        <v/>
      </c>
      <c r="M57" s="9">
        <f>IF(O56&gt;0.09999999999999998,SQRT(M56*N56),M56)</f>
        <v/>
      </c>
      <c r="N57" s="9">
        <f>IF(O56&gt;0.09999999999999998,N56,SQRT(M56*N56))</f>
        <v/>
      </c>
      <c r="O57" s="47">
        <f>SUMPRODUCT($B$4:$B$6,1-NORMSDIST((LN(SQRT(M57*N57))-LN($C$4:$C$6))/$B$9))</f>
        <v/>
      </c>
    </row>
    <row r="58">
      <c r="A58" s="9">
        <f>IF(C57&gt;0.5,SQRT(A57*B57),A57)</f>
        <v/>
      </c>
      <c r="B58" s="9">
        <f>IF(C57&gt;0.5,B57,SQRT(A57*B57))</f>
        <v/>
      </c>
      <c r="C58" s="47">
        <f>SUMPRODUCT($B$4:$B$6,1-NORMSDIST((LN(SQRT(A58*B58))-LN($C$4:$C$6))/$B$9))</f>
        <v/>
      </c>
      <c r="D58" s="9">
        <f>IF(F57&gt;0.9,SQRT(D57*E57),D57)</f>
        <v/>
      </c>
      <c r="E58" s="9">
        <f>IF(F57&gt;0.9,E57,SQRT(D57*E57))</f>
        <v/>
      </c>
      <c r="F58" s="47">
        <f>SUMPRODUCT($B$4:$B$6,1-NORMSDIST((LN(SQRT(D58*E58))-LN($C$4:$C$6))/$B$9))</f>
        <v/>
      </c>
      <c r="G58" s="9">
        <f>IF(I57&gt;0.75,SQRT(G57*H57),G57)</f>
        <v/>
      </c>
      <c r="H58" s="9">
        <f>IF(I57&gt;0.75,H57,SQRT(G57*H57))</f>
        <v/>
      </c>
      <c r="I58" s="47">
        <f>SUMPRODUCT($B$4:$B$6,1-NORMSDIST((LN(SQRT(G58*H58))-LN($C$4:$C$6))/$B$9))</f>
        <v/>
      </c>
      <c r="J58" s="9">
        <f>IF(L57&gt;0.25,SQRT(J57*K57),J57)</f>
        <v/>
      </c>
      <c r="K58" s="9">
        <f>IF(L57&gt;0.25,K57,SQRT(J57*K57))</f>
        <v/>
      </c>
      <c r="L58" s="47">
        <f>SUMPRODUCT($B$4:$B$6,1-NORMSDIST((LN(SQRT(J58*K58))-LN($C$4:$C$6))/$B$9))</f>
        <v/>
      </c>
      <c r="M58" s="9">
        <f>IF(O57&gt;0.09999999999999998,SQRT(M57*N57),M57)</f>
        <v/>
      </c>
      <c r="N58" s="9">
        <f>IF(O57&gt;0.09999999999999998,N57,SQRT(M57*N57))</f>
        <v/>
      </c>
      <c r="O58" s="47">
        <f>SUMPRODUCT($B$4:$B$6,1-NORMSDIST((LN(SQRT(M58*N58))-LN($C$4:$C$6))/$B$9))</f>
        <v/>
      </c>
    </row>
    <row r="59">
      <c r="A59" s="9">
        <f>IF(C58&gt;0.5,SQRT(A58*B58),A58)</f>
        <v/>
      </c>
      <c r="B59" s="9">
        <f>IF(C58&gt;0.5,B58,SQRT(A58*B58))</f>
        <v/>
      </c>
      <c r="C59" s="47">
        <f>SUMPRODUCT($B$4:$B$6,1-NORMSDIST((LN(SQRT(A59*B59))-LN($C$4:$C$6))/$B$9))</f>
        <v/>
      </c>
      <c r="D59" s="9">
        <f>IF(F58&gt;0.9,SQRT(D58*E58),D58)</f>
        <v/>
      </c>
      <c r="E59" s="9">
        <f>IF(F58&gt;0.9,E58,SQRT(D58*E58))</f>
        <v/>
      </c>
      <c r="F59" s="47">
        <f>SUMPRODUCT($B$4:$B$6,1-NORMSDIST((LN(SQRT(D59*E59))-LN($C$4:$C$6))/$B$9))</f>
        <v/>
      </c>
      <c r="G59" s="9">
        <f>IF(I58&gt;0.75,SQRT(G58*H58),G58)</f>
        <v/>
      </c>
      <c r="H59" s="9">
        <f>IF(I58&gt;0.75,H58,SQRT(G58*H58))</f>
        <v/>
      </c>
      <c r="I59" s="47">
        <f>SUMPRODUCT($B$4:$B$6,1-NORMSDIST((LN(SQRT(G59*H59))-LN($C$4:$C$6))/$B$9))</f>
        <v/>
      </c>
      <c r="J59" s="9">
        <f>IF(L58&gt;0.25,SQRT(J58*K58),J58)</f>
        <v/>
      </c>
      <c r="K59" s="9">
        <f>IF(L58&gt;0.25,K58,SQRT(J58*K58))</f>
        <v/>
      </c>
      <c r="L59" s="47">
        <f>SUMPRODUCT($B$4:$B$6,1-NORMSDIST((LN(SQRT(J59*K59))-LN($C$4:$C$6))/$B$9))</f>
        <v/>
      </c>
      <c r="M59" s="9">
        <f>IF(O58&gt;0.09999999999999998,SQRT(M58*N58),M58)</f>
        <v/>
      </c>
      <c r="N59" s="9">
        <f>IF(O58&gt;0.09999999999999998,N58,SQRT(M58*N58))</f>
        <v/>
      </c>
      <c r="O59" s="47">
        <f>SUMPRODUCT($B$4:$B$6,1-NORMSDIST((LN(SQRT(M59*N59))-LN($C$4:$C$6))/$B$9))</f>
        <v/>
      </c>
    </row>
    <row r="60">
      <c r="A60" s="9">
        <f>IF(C59&gt;0.5,SQRT(A59*B59),A59)</f>
        <v/>
      </c>
      <c r="B60" s="9">
        <f>IF(C59&gt;0.5,B59,SQRT(A59*B59))</f>
        <v/>
      </c>
      <c r="C60" s="47">
        <f>SUMPRODUCT($B$4:$B$6,1-NORMSDIST((LN(SQRT(A60*B60))-LN($C$4:$C$6))/$B$9))</f>
        <v/>
      </c>
      <c r="D60" s="9">
        <f>IF(F59&gt;0.9,SQRT(D59*E59),D59)</f>
        <v/>
      </c>
      <c r="E60" s="9">
        <f>IF(F59&gt;0.9,E59,SQRT(D59*E59))</f>
        <v/>
      </c>
      <c r="F60" s="47">
        <f>SUMPRODUCT($B$4:$B$6,1-NORMSDIST((LN(SQRT(D60*E60))-LN($C$4:$C$6))/$B$9))</f>
        <v/>
      </c>
      <c r="G60" s="9">
        <f>IF(I59&gt;0.75,SQRT(G59*H59),G59)</f>
        <v/>
      </c>
      <c r="H60" s="9">
        <f>IF(I59&gt;0.75,H59,SQRT(G59*H59))</f>
        <v/>
      </c>
      <c r="I60" s="47">
        <f>SUMPRODUCT($B$4:$B$6,1-NORMSDIST((LN(SQRT(G60*H60))-LN($C$4:$C$6))/$B$9))</f>
        <v/>
      </c>
      <c r="J60" s="9">
        <f>IF(L59&gt;0.25,SQRT(J59*K59),J59)</f>
        <v/>
      </c>
      <c r="K60" s="9">
        <f>IF(L59&gt;0.25,K59,SQRT(J59*K59))</f>
        <v/>
      </c>
      <c r="L60" s="47">
        <f>SUMPRODUCT($B$4:$B$6,1-NORMSDIST((LN(SQRT(J60*K60))-LN($C$4:$C$6))/$B$9))</f>
        <v/>
      </c>
      <c r="M60" s="9">
        <f>IF(O59&gt;0.09999999999999998,SQRT(M59*N59),M59)</f>
        <v/>
      </c>
      <c r="N60" s="9">
        <f>IF(O59&gt;0.09999999999999998,N59,SQRT(M59*N59))</f>
        <v/>
      </c>
      <c r="O60" s="47">
        <f>SUMPRODUCT($B$4:$B$6,1-NORMSDIST((LN(SQRT(M60*N60))-LN($C$4:$C$6))/$B$9))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4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T engine calculation: research target (12m) (reconciled set, no scenario deltas)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20" t="n">
        <v>0</v>
      </c>
    </row>
    <row r="5">
      <c r="A5" t="inlineStr">
        <is>
          <t>Scenario Margin Δ</t>
        </is>
      </c>
      <c r="B5" s="20" t="n">
        <v>0</v>
      </c>
    </row>
    <row r="6">
      <c r="A6" t="inlineStr">
        <is>
          <t>Scenario Multiple Δ (turns)</t>
        </is>
      </c>
      <c r="B6" s="48" t="n">
        <v>0</v>
      </c>
    </row>
    <row r="7">
      <c r="A7" t="inlineStr">
        <is>
          <t>Scenario WACC Δ</t>
        </is>
      </c>
      <c r="B7" s="20" t="n">
        <v>0</v>
      </c>
    </row>
    <row r="8">
      <c r="A8" t="inlineStr">
        <is>
          <t>Scenario Multiple %Δ</t>
        </is>
      </c>
      <c r="B8" s="20" t="n">
        <v>0</v>
      </c>
    </row>
    <row r="9">
      <c r="A9" t="inlineStr">
        <is>
          <t>Scenario Stated EPS/FCF %Δ</t>
        </is>
      </c>
      <c r="B9" s="20" t="n">
        <v>0</v>
      </c>
    </row>
    <row r="10">
      <c r="A10" t="inlineStr">
        <is>
          <t>Scenario Custom %Δ</t>
        </is>
      </c>
      <c r="B10" s="20" t="n">
        <v>0</v>
      </c>
    </row>
    <row r="12">
      <c r="A12" t="inlineStr">
        <is>
          <t>WACC</t>
        </is>
      </c>
      <c r="B12" s="20">
        <f>Valuation!$B$52+B7</f>
        <v/>
      </c>
    </row>
    <row r="13">
      <c r="A13" t="inlineStr">
        <is>
          <t>Years from last FY end to target date</t>
        </is>
      </c>
      <c r="B13" s="49">
        <f>(Valuation!$B$46-Valuation!$B$50)/365.25</f>
        <v/>
      </c>
    </row>
    <row r="14">
      <c r="A14" t="inlineStr">
        <is>
          <t>Years from last FY end to balance date</t>
        </is>
      </c>
      <c r="B14" s="49">
        <f>(Valuation!$B$56-Valuation!$B$50)/365.25</f>
        <v/>
      </c>
    </row>
    <row r="15">
      <c r="A15" t="inlineStr">
        <is>
          <t>Years from last FY end to share count date</t>
        </is>
      </c>
      <c r="B15" s="49">
        <f>(Valuation!$B$62-Valuation!$B$50)/365.25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2">
        <f>Valuation!$B$50+ROUND(365.25*C19,0)</f>
        <v/>
      </c>
      <c r="D20" s="22">
        <f>Valuation!$B$50+ROUND(365.25*D19,0)</f>
        <v/>
      </c>
      <c r="E20" s="22">
        <f>Valuation!$B$50+ROUND(365.25*E19,0)</f>
        <v/>
      </c>
    </row>
    <row r="21">
      <c r="A21" t="inlineStr">
        <is>
          <t>Revenue growth</t>
        </is>
      </c>
      <c r="C21" s="20">
        <f>C22/B22-1</f>
        <v/>
      </c>
      <c r="D21" s="20">
        <f>D22/C22-1</f>
        <v/>
      </c>
      <c r="E21" s="20">
        <f>E22/D22-1</f>
        <v/>
      </c>
    </row>
    <row r="22">
      <c r="A22" t="inlineStr">
        <is>
          <t>Revenue</t>
        </is>
      </c>
      <c r="B22" s="25">
        <f>Valuation!$B$51</f>
        <v/>
      </c>
      <c r="C22" s="25">
        <f>C151</f>
        <v/>
      </c>
      <c r="D22" s="25">
        <f>D151</f>
        <v/>
      </c>
      <c r="E22" s="25">
        <f>E151</f>
        <v/>
      </c>
    </row>
    <row r="23">
      <c r="A23" t="inlineStr">
        <is>
          <t>EBIT margin</t>
        </is>
      </c>
      <c r="C23" s="20">
        <f>C24/C22</f>
        <v/>
      </c>
      <c r="D23" s="20">
        <f>D24/D22</f>
        <v/>
      </c>
      <c r="E23" s="20">
        <f>E24/E22</f>
        <v/>
      </c>
    </row>
    <row r="24">
      <c r="A24" t="inlineStr">
        <is>
          <t>EBIT</t>
        </is>
      </c>
      <c r="C24" s="25">
        <f>C154</f>
        <v/>
      </c>
      <c r="D24" s="25">
        <f>D154</f>
        <v/>
      </c>
      <c r="E24" s="25">
        <f>E154</f>
        <v/>
      </c>
    </row>
    <row r="25">
      <c r="A25" t="inlineStr">
        <is>
          <t>Tax rate</t>
        </is>
      </c>
      <c r="C25" s="20">
        <f>Model!E75</f>
        <v/>
      </c>
      <c r="D25" s="20">
        <f>Model!F75</f>
        <v/>
      </c>
      <c r="E25" s="20">
        <f>Model!G75</f>
        <v/>
      </c>
    </row>
    <row r="26">
      <c r="A26" t="inlineStr">
        <is>
          <t>NOPAT</t>
        </is>
      </c>
      <c r="C26" s="25">
        <f>C24*(1-C25)</f>
        <v/>
      </c>
      <c r="D26" s="25">
        <f>D24*(1-D25)</f>
        <v/>
      </c>
      <c r="E26" s="25">
        <f>E24*(1-E25)</f>
        <v/>
      </c>
    </row>
    <row r="27">
      <c r="A27" t="inlineStr">
        <is>
          <t>D&amp;A</t>
        </is>
      </c>
      <c r="C27" s="25">
        <f>C22*(Model!E76)</f>
        <v/>
      </c>
      <c r="D27" s="25">
        <f>D22*(Model!F76)</f>
        <v/>
      </c>
      <c r="E27" s="25">
        <f>E22*(Model!G76)</f>
        <v/>
      </c>
    </row>
    <row r="28">
      <c r="A28" t="inlineStr">
        <is>
          <t>Capex</t>
        </is>
      </c>
      <c r="C28" s="25">
        <f>C22*(Model!E77)</f>
        <v/>
      </c>
      <c r="D28" s="25">
        <f>D22*(Model!F77)</f>
        <v/>
      </c>
      <c r="E28" s="25">
        <f>E22*(Model!G77)</f>
        <v/>
      </c>
    </row>
    <row r="29">
      <c r="A29" t="inlineStr">
        <is>
          <t>Working capital increase</t>
        </is>
      </c>
      <c r="C29" s="25">
        <f>(Model!E78)*(C22-B22)</f>
        <v/>
      </c>
      <c r="D29" s="25">
        <f>(Model!F78)*(D22-C22)</f>
        <v/>
      </c>
      <c r="E29" s="25">
        <f>(Model!G78)*(E22-D22)</f>
        <v/>
      </c>
    </row>
    <row r="30">
      <c r="A30" t="inlineStr">
        <is>
          <t>Stock comp</t>
        </is>
      </c>
      <c r="C30" s="25">
        <f>C22*(Model!E79)</f>
        <v/>
      </c>
      <c r="D30" s="25">
        <f>D22*(Model!F79)</f>
        <v/>
      </c>
      <c r="E30" s="25">
        <f>E22*(Model!G79)</f>
        <v/>
      </c>
    </row>
    <row r="31">
      <c r="A31" t="inlineStr">
        <is>
          <t>Free cash flow to firm</t>
        </is>
      </c>
      <c r="C31" s="25">
        <f>C26+C27-C28-C29-IF(AND(Valuation!$B$48="adjusted",Valuation!$B$49="cost"),C30*(1-C25),0)</f>
        <v/>
      </c>
      <c r="D31" s="25">
        <f>D26+D27-D28-D29-IF(AND(Valuation!$B$48="adjusted",Valuation!$B$49="cost"),D30*(1-D25),0)</f>
        <v/>
      </c>
      <c r="E31" s="25">
        <f>E26+E27-E28-E29-IF(AND(Valuation!$B$48="adjusted",Valuation!$B$49="cost"),E30*(1-E25),0)</f>
        <v/>
      </c>
    </row>
    <row r="32">
      <c r="A32" t="inlineStr">
        <is>
          <t>EBITDA</t>
        </is>
      </c>
      <c r="C32" s="25">
        <f>C24+C27</f>
        <v/>
      </c>
      <c r="D32" s="25">
        <f>D24+D27</f>
        <v/>
      </c>
      <c r="E32" s="25">
        <f>E24+E27</f>
        <v/>
      </c>
    </row>
    <row r="33">
      <c r="A33" t="inlineStr">
        <is>
          <t>Adj. EBITDA</t>
        </is>
      </c>
      <c r="C33" s="25">
        <f>C24+C27+C22*(Model!E83)</f>
        <v/>
      </c>
      <c r="D33" s="25">
        <f>D24+D27+D22*(Model!F83)</f>
        <v/>
      </c>
      <c r="E33" s="25">
        <f>E24+E27+E22*(Model!G83)</f>
        <v/>
      </c>
    </row>
    <row r="34">
      <c r="A34" t="inlineStr">
        <is>
          <t>Shareholder returns + other uses</t>
        </is>
      </c>
      <c r="C34" s="25">
        <f>C22*Model!E81+Model!E80+Model!E82</f>
        <v/>
      </c>
      <c r="D34" s="25">
        <f>D22*Model!F81+Model!F80+Model!F82</f>
        <v/>
      </c>
      <c r="E34" s="25">
        <f>E22*Model!G81+Model!G80+Model!G82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5">
        <f>IF(C35=0,0,C31*C35/(1+$B$12)^(C19-$B$13))</f>
        <v/>
      </c>
      <c r="D36" s="25">
        <f>IF(D35=0,0,D31*D35/(1+$B$12)^(D19-$B$13))</f>
        <v/>
      </c>
      <c r="E36" s="25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21" t="inlineStr">
        <is>
          <t>Value at the target date</t>
        </is>
      </c>
    </row>
    <row r="42">
      <c r="A42" t="inlineStr">
        <is>
          <t>PV of free cash flow after the target date</t>
        </is>
      </c>
      <c r="B42" s="25">
        <f>SUM($C$36:$E$36)</f>
        <v/>
      </c>
    </row>
    <row r="43">
      <c r="A43" t="inlineStr">
        <is>
          <t>Terminal value at final year</t>
        </is>
      </c>
      <c r="B43" s="25">
        <f>IF(Valuation!$B$53="exit_multiple",Valuation!$B$55*E32,E31*(1+Valuation!$B$54)/($B$12-Valuation!$B$54))</f>
        <v/>
      </c>
    </row>
    <row r="44">
      <c r="A44" t="inlineStr">
        <is>
          <t>PV of terminal value at target date</t>
        </is>
      </c>
      <c r="B44" s="25">
        <f>B43/(1+$B$12)^($B$16-$B$13)</f>
        <v/>
      </c>
    </row>
    <row r="45">
      <c r="A45" t="inlineStr">
        <is>
          <t>DCF enterprise value at target date</t>
        </is>
      </c>
      <c r="B45" s="25">
        <f>B42+B44</f>
        <v/>
      </c>
    </row>
    <row r="46">
      <c r="A46" t="inlineStr">
        <is>
          <t>Terminal value share of DCF</t>
        </is>
      </c>
      <c r="B46" s="20">
        <f>B44/B45</f>
        <v/>
      </c>
    </row>
    <row r="47">
      <c r="A47" t="inlineStr">
        <is>
          <t>Free cash flow earned, balance date to target date</t>
        </is>
      </c>
      <c r="B47" s="25">
        <f>SUMPRODUCT($C$37:$E$37,$C$31:$E$31)</f>
        <v/>
      </c>
    </row>
    <row r="48">
      <c r="A48" t="inlineStr">
        <is>
          <t>Shareholder returns + other uses paid</t>
        </is>
      </c>
      <c r="B48" s="25">
        <f>SUMPRODUCT($C$37:$E$37,$C$34:$E$34)</f>
        <v/>
      </c>
    </row>
    <row r="49">
      <c r="A49" t="inlineStr">
        <is>
          <t>Interest drag on net debt</t>
        </is>
      </c>
      <c r="B49" s="25">
        <f>Valuation!$B$59*(1-$C$25)*MAX(Valuation!$B$57,0)*MAX($B$13-$B$14,0)</f>
        <v/>
      </c>
    </row>
    <row r="50">
      <c r="A50" t="inlineStr">
        <is>
          <t>Net debt at target date</t>
        </is>
      </c>
      <c r="B50" s="25">
        <f>IF(Valuation!$B$60="",Valuation!$B$57-B47+B49+B48,Valuation!$B$60)</f>
        <v/>
      </c>
    </row>
    <row r="51">
      <c r="A51" t="inlineStr">
        <is>
          <t>Minority interests</t>
        </is>
      </c>
      <c r="B51" s="25">
        <f>Valuation!$B$58</f>
        <v/>
      </c>
    </row>
    <row r="52">
      <c r="A52" t="inlineStr">
        <is>
          <t>Adjustments (probability-weighted)</t>
        </is>
      </c>
      <c r="B52" s="25">
        <f>(Valuation!B79)*Valuation!C79+(Valuation!B80)*Valuation!C80+0</f>
        <v/>
      </c>
    </row>
    <row r="53">
      <c r="A53" t="inlineStr">
        <is>
          <t>Diluted shares at target date (M)</t>
        </is>
      </c>
      <c r="B53" s="30">
        <f>IF(Valuation!$B$64="",Valuation!$B$61*(1+Valuation!$B$63)^MAX($B$13-$B$15,0),Valuation!$B$64)</f>
        <v/>
      </c>
    </row>
    <row r="54">
      <c r="A54" t="inlineStr">
        <is>
          <t>After-tax interest on target-date net debt</t>
        </is>
      </c>
      <c r="B54" s="25">
        <f>Valuation!$B$59*(1-$C$25)*MAX(B50,0)</f>
        <v/>
      </c>
    </row>
    <row r="55">
      <c r="A55" t="inlineStr">
        <is>
          <t>Check: WACC vs terminal growth</t>
        </is>
      </c>
      <c r="B55">
        <f>IF(AND(Valuation!$B$53&lt;&gt;"exit_multiple",$B$12&lt;=Valuation!$B$54+0.01),"WACC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5">
        <f>SUMPRODUCT($C$38:$E$38,$C$22:$E$22)</f>
        <v/>
      </c>
      <c r="C59" s="25">
        <f>SUMPRODUCT($C$39:$E$39,$C$22:$E$22)+$B$39*$B$22</f>
        <v/>
      </c>
    </row>
    <row r="60">
      <c r="A60" t="inlineStr">
        <is>
          <t>EBIT</t>
        </is>
      </c>
      <c r="B60" s="25">
        <f>SUMPRODUCT($C$38:$E$38,$C$24:$E$24)</f>
        <v/>
      </c>
      <c r="C60" s="25">
        <f>SUMPRODUCT($C$39:$E$39,$C$24:$E$24)</f>
        <v/>
      </c>
    </row>
    <row r="61">
      <c r="A61" t="inlineStr">
        <is>
          <t>EBITDA</t>
        </is>
      </c>
      <c r="B61" s="25">
        <f>SUMPRODUCT($C$38:$E$38,$C$32:$E$32)</f>
        <v/>
      </c>
      <c r="C61" s="25">
        <f>SUMPRODUCT($C$39:$E$39,$C$32:$E$32)</f>
        <v/>
      </c>
    </row>
    <row r="62">
      <c r="A62" t="inlineStr">
        <is>
          <t>Adj. EBITDA</t>
        </is>
      </c>
      <c r="B62" s="25">
        <f>SUMPRODUCT($C$38:$E$38,$C$33:$E$33)</f>
        <v/>
      </c>
      <c r="C62" s="25">
        <f>SUMPRODUCT($C$39:$E$39,$C$33:$E$33)</f>
        <v/>
      </c>
    </row>
    <row r="63">
      <c r="A63" t="inlineStr">
        <is>
          <t>NOPAT</t>
        </is>
      </c>
      <c r="B63" s="25">
        <f>SUMPRODUCT($C$38:$E$38,$C$26:$E$26)</f>
        <v/>
      </c>
      <c r="C63" s="25">
        <f>SUMPRODUCT($C$39:$E$39,$C$26:$E$26)</f>
        <v/>
      </c>
    </row>
    <row r="64">
      <c r="A64" t="inlineStr">
        <is>
          <t>Free cash flow to firm</t>
        </is>
      </c>
      <c r="B64" s="25">
        <f>SUMPRODUCT($C$38:$E$38,$C$31:$E$31)</f>
        <v/>
      </c>
      <c r="C64" s="25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20">
        <f>Valuation!$B$65</f>
        <v/>
      </c>
    </row>
    <row r="68">
      <c r="A68">
        <f>"Multiple: "&amp;Valuation!A71&amp;" ("&amp;Valuation!D71&amp;")"</f>
        <v/>
      </c>
      <c r="B68">
        <f>Valuation!A71</f>
        <v/>
      </c>
      <c r="C68" s="9">
        <f>IF(B68="FCF yield",(Valuation!B71)*(1-$B$8),(Valuation!B71)+IF(B68="EV/sales",0.1,1)*$B$6)</f>
        <v/>
      </c>
      <c r="D68">
        <f>Valuation!D71</f>
        <v/>
      </c>
      <c r="E68" s="25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71&lt;&gt;"",C68*(Valuation!F71)*(1+$B$9),C68*(E68-$B$54)/$B$53),IF(Valuation!G71&lt;&gt;"",(Valuation!G71)*(1+$B$9)/C68,(E68-IF(Valuation!H71,$B$54,0))/C68/$B$53))+$B$52/$B$53)</f>
        <v/>
      </c>
      <c r="G68" s="20">
        <f>Valuation!C71</f>
        <v/>
      </c>
      <c r="H68">
        <f>IF(B68="EV/sales",1,IF(B68="EV/EBIT",2,IF(B68="EV/EBITDA",IF(Valuation!E71="adjusted",4,3),IF(B68="P/E",5,6))))</f>
        <v/>
      </c>
      <c r="I68" s="50">
        <f>IF(AND(B68="P/E",Valuation!F71&lt;&gt;""),(Valuation!F71)*(1+$B$9),IF(AND(B68="FCF yield",Valuation!G71&lt;&gt;""),(Valuation!G71)*(1+$B$9),E68))</f>
        <v/>
      </c>
    </row>
    <row r="69">
      <c r="A69">
        <f>"Multiple: "&amp;Valuation!A72&amp;" ("&amp;Valuation!D72&amp;")"</f>
        <v/>
      </c>
      <c r="B69">
        <f>Valuation!A72</f>
        <v/>
      </c>
      <c r="C69" s="9">
        <f>IF(B69="FCF yield",(Valuation!B72)*(1-$B$8),(Valuation!B72)+IF(B69="EV/sales",0.1,1)*$B$6)</f>
        <v/>
      </c>
      <c r="D69">
        <f>Valuation!D72</f>
        <v/>
      </c>
      <c r="E69" s="25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72&lt;&gt;"",C69*(Valuation!F72)*(1+$B$9),C69*(E69-$B$54)/$B$53),IF(Valuation!G72&lt;&gt;"",(Valuation!G72)*(1+$B$9)/C69,(E69-IF(Valuation!H72,$B$54,0))/C69/$B$53))+$B$52/$B$53)</f>
        <v/>
      </c>
      <c r="G69" s="20">
        <f>Valuation!C72</f>
        <v/>
      </c>
      <c r="H69">
        <f>IF(B69="EV/sales",1,IF(B69="EV/EBIT",2,IF(B69="EV/EBITDA",IF(Valuation!E72="adjusted",4,3),IF(B69="P/E",5,6))))</f>
        <v/>
      </c>
      <c r="I69" s="50">
        <f>IF(AND(B69="P/E",Valuation!F72&lt;&gt;""),(Valuation!F72)*(1+$B$9),IF(AND(B69="FCF yield",Valuation!G72&lt;&gt;""),(Valuation!G72)*(1+$B$9),E69))</f>
        <v/>
      </c>
    </row>
    <row r="70">
      <c r="A70">
        <f>"Multiple: "&amp;Valuation!A73&amp;" ("&amp;Valuation!D73&amp;")"</f>
        <v/>
      </c>
      <c r="B70">
        <f>Valuation!A73</f>
        <v/>
      </c>
      <c r="C70" s="9">
        <f>IF(B70="FCF yield",(Valuation!B73)*(1-$B$8),(Valuation!B73)+IF(B70="EV/sales",0.1,1)*$B$6)</f>
        <v/>
      </c>
      <c r="D70">
        <f>Valuation!D73</f>
        <v/>
      </c>
      <c r="E70" s="25">
        <f>IF(D70="ltm",CHOOSE(H70,$C$59,$C$60,$C$61,$C$62,$C$63,$C$64),CHOOSE(H70,$B$59,$B$60,$B$61,$B$62,$B$63,$B$64))</f>
        <v/>
      </c>
      <c r="F70" s="9">
        <f>IF(OR(B70="EV/EBITDA",B70="EV/sales",B70="EV/EBIT"),((C70*E70)-$B$50-$B$51+$B$52)/$B$53,IF(B70="P/E",IF(Valuation!F73&lt;&gt;"",C70*(Valuation!F73)*(1+$B$9),C70*(E70-$B$54)/$B$53),IF(Valuation!G73&lt;&gt;"",(Valuation!G73)*(1+$B$9)/C70,(E70-IF(Valuation!H73,$B$54,0))/C70/$B$53))+$B$52/$B$53)</f>
        <v/>
      </c>
      <c r="G70" s="20">
        <f>Valuation!C73</f>
        <v/>
      </c>
      <c r="H70">
        <f>IF(B70="EV/sales",1,IF(B70="EV/EBIT",2,IF(B70="EV/EBITDA",IF(Valuation!E73="adjusted",4,3),IF(B70="P/E",5,6))))</f>
        <v/>
      </c>
      <c r="I70" s="50">
        <f>IF(AND(B70="P/E",Valuation!F73&lt;&gt;""),(Valuation!F73)*(1+$B$9),IF(AND(B70="FCF yield",Valuation!G73&lt;&gt;""),(Valuation!G73)*(1+$B$9),E70))</f>
        <v/>
      </c>
    </row>
    <row r="71">
      <c r="A71" s="21" t="inlineStr">
        <is>
          <t>Value per share at target date (weighted methods)</t>
        </is>
      </c>
      <c r="F71" s="6">
        <f>SUMPRODUCT(F67:F70,G67:G70)/SUM(G67:G70)</f>
        <v/>
      </c>
    </row>
    <row r="129">
      <c r="A129" s="21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AC Wireless and Home: revenue growth</t>
        </is>
      </c>
      <c r="C131" s="20">
        <f>Model!E12+$B$4</f>
        <v/>
      </c>
      <c r="D131" s="20">
        <f>Model!F12+$B$4</f>
        <v/>
      </c>
      <c r="E131" s="20">
        <f>Model!G12+$B$4</f>
        <v/>
      </c>
    </row>
    <row r="132">
      <c r="A132" t="inlineStr">
        <is>
          <t>AC Wireless and Home: revenue</t>
        </is>
      </c>
      <c r="B132" s="10">
        <f>Valuation!$B$91</f>
        <v/>
      </c>
      <c r="C132" s="25">
        <f>B132*(1+C131)</f>
        <v/>
      </c>
      <c r="D132" s="25">
        <f>C132*(1+D131)</f>
        <v/>
      </c>
      <c r="E132" s="25">
        <f>D132*(1+E131)</f>
        <v/>
      </c>
    </row>
    <row r="133">
      <c r="A133" t="inlineStr">
        <is>
          <t>AC Wireless and Home: EBIT margin</t>
        </is>
      </c>
      <c r="C133" s="20">
        <f>Model!E14+$B$5</f>
        <v/>
      </c>
      <c r="D133" s="20">
        <f>Model!F14+$B$5</f>
        <v/>
      </c>
      <c r="E133" s="20">
        <f>Model!G14+$B$5</f>
        <v/>
      </c>
    </row>
    <row r="134">
      <c r="A134" t="inlineStr">
        <is>
          <t>AC Wireless and Home: EBIT</t>
        </is>
      </c>
      <c r="C134" s="25">
        <f>C132*C133</f>
        <v/>
      </c>
      <c r="D134" s="25">
        <f>D132*D133</f>
        <v/>
      </c>
      <c r="E134" s="25">
        <f>E132*E133</f>
        <v/>
      </c>
    </row>
    <row r="135">
      <c r="A135" t="inlineStr">
        <is>
          <t>AC Business Wireline and Other: revenue growth</t>
        </is>
      </c>
      <c r="C135" s="20">
        <f>Model!E16+$B$4</f>
        <v/>
      </c>
      <c r="D135" s="20">
        <f>Model!F16+$B$4</f>
        <v/>
      </c>
      <c r="E135" s="20">
        <f>Model!G16+$B$4</f>
        <v/>
      </c>
    </row>
    <row r="136">
      <c r="A136" t="inlineStr">
        <is>
          <t>AC Business Wireline and Other: revenue</t>
        </is>
      </c>
      <c r="B136" s="10">
        <f>Valuation!$B$92</f>
        <v/>
      </c>
      <c r="C136" s="25">
        <f>B136*(1+C135)</f>
        <v/>
      </c>
      <c r="D136" s="25">
        <f>C136*(1+D135)</f>
        <v/>
      </c>
      <c r="E136" s="25">
        <f>D136*(1+E135)</f>
        <v/>
      </c>
    </row>
    <row r="137">
      <c r="A137" t="inlineStr">
        <is>
          <t>AC Business Wireline and Other: EBIT margin</t>
        </is>
      </c>
      <c r="C137" s="20">
        <f>Model!E18+$B$5</f>
        <v/>
      </c>
      <c r="D137" s="20">
        <f>Model!F18+$B$5</f>
        <v/>
      </c>
      <c r="E137" s="20">
        <f>Model!G18+$B$5</f>
        <v/>
      </c>
    </row>
    <row r="138">
      <c r="A138" t="inlineStr">
        <is>
          <t>AC Business Wireline and Other: EBIT</t>
        </is>
      </c>
      <c r="C138" s="25">
        <f>C136*C137</f>
        <v/>
      </c>
      <c r="D138" s="25">
        <f>D136*D137</f>
        <v/>
      </c>
      <c r="E138" s="25">
        <f>E136*E137</f>
        <v/>
      </c>
    </row>
    <row r="139">
      <c r="A139" t="inlineStr">
        <is>
          <t>Legacy: revenue growth</t>
        </is>
      </c>
      <c r="C139" s="20">
        <f>Model!E20+$B$4</f>
        <v/>
      </c>
      <c r="D139" s="20">
        <f>Model!F20+$B$4</f>
        <v/>
      </c>
      <c r="E139" s="20">
        <f>Model!G20+$B$4</f>
        <v/>
      </c>
    </row>
    <row r="140">
      <c r="A140" t="inlineStr">
        <is>
          <t>Legacy: revenue</t>
        </is>
      </c>
      <c r="B140" s="10">
        <f>Valuation!$B$93</f>
        <v/>
      </c>
      <c r="C140" s="25">
        <f>B140*(1+C139)</f>
        <v/>
      </c>
      <c r="D140" s="25">
        <f>C140*(1+D139)</f>
        <v/>
      </c>
      <c r="E140" s="25">
        <f>D140*(1+E139)</f>
        <v/>
      </c>
    </row>
    <row r="141">
      <c r="A141" t="inlineStr">
        <is>
          <t>Legacy: EBIT margin</t>
        </is>
      </c>
      <c r="C141" s="20">
        <f>Model!E22+$B$5</f>
        <v/>
      </c>
      <c r="D141" s="20">
        <f>Model!F22+$B$5</f>
        <v/>
      </c>
      <c r="E141" s="20">
        <f>Model!G22+$B$5</f>
        <v/>
      </c>
    </row>
    <row r="142">
      <c r="A142" t="inlineStr">
        <is>
          <t>Legacy: EBIT</t>
        </is>
      </c>
      <c r="C142" s="25">
        <f>C140*C141</f>
        <v/>
      </c>
      <c r="D142" s="25">
        <f>D140*D141</f>
        <v/>
      </c>
      <c r="E142" s="25">
        <f>E140*E141</f>
        <v/>
      </c>
    </row>
    <row r="143">
      <c r="A143" t="inlineStr">
        <is>
          <t>Latin America: revenue growth</t>
        </is>
      </c>
      <c r="C143" s="20">
        <f>Model!E24+$B$4</f>
        <v/>
      </c>
      <c r="D143" s="20">
        <f>Model!F24+$B$4</f>
        <v/>
      </c>
      <c r="E143" s="20">
        <f>Model!G24+$B$4</f>
        <v/>
      </c>
    </row>
    <row r="144">
      <c r="A144" t="inlineStr">
        <is>
          <t>Latin America: revenue</t>
        </is>
      </c>
      <c r="B144" s="10">
        <f>Valuation!$B$94</f>
        <v/>
      </c>
      <c r="C144" s="25">
        <f>B144*(1+C143)</f>
        <v/>
      </c>
      <c r="D144" s="25">
        <f>C144*(1+D143)</f>
        <v/>
      </c>
      <c r="E144" s="25">
        <f>D144*(1+E143)</f>
        <v/>
      </c>
    </row>
    <row r="145">
      <c r="A145" t="inlineStr">
        <is>
          <t>Latin America: EBIT margin</t>
        </is>
      </c>
      <c r="C145" s="20">
        <f>Model!E26+$B$5</f>
        <v/>
      </c>
      <c r="D145" s="20">
        <f>Model!F26+$B$5</f>
        <v/>
      </c>
      <c r="E145" s="20">
        <f>Model!G26+$B$5</f>
        <v/>
      </c>
    </row>
    <row r="146">
      <c r="A146" t="inlineStr">
        <is>
          <t>Latin America: EBIT</t>
        </is>
      </c>
      <c r="C146" s="25">
        <f>C144*C145</f>
        <v/>
      </c>
      <c r="D146" s="25">
        <f>D144*D145</f>
        <v/>
      </c>
      <c r="E146" s="25">
        <f>E144*E145</f>
        <v/>
      </c>
    </row>
    <row r="147">
      <c r="A147" t="inlineStr">
        <is>
          <t>Corporate and Other: revenue growth</t>
        </is>
      </c>
      <c r="C147" s="20">
        <f>Model!E28+$B$4</f>
        <v/>
      </c>
      <c r="D147" s="20">
        <f>Model!F28+$B$4</f>
        <v/>
      </c>
      <c r="E147" s="20">
        <f>Model!G28+$B$4</f>
        <v/>
      </c>
    </row>
    <row r="148">
      <c r="A148" t="inlineStr">
        <is>
          <t>Corporate and Other: revenue</t>
        </is>
      </c>
      <c r="B148" s="10">
        <f>Valuation!$B$95</f>
        <v/>
      </c>
      <c r="C148" s="25">
        <f>B148*(1+C147)</f>
        <v/>
      </c>
      <c r="D148" s="25">
        <f>C148*(1+D147)</f>
        <v/>
      </c>
      <c r="E148" s="25">
        <f>D148*(1+E147)</f>
        <v/>
      </c>
    </row>
    <row r="149">
      <c r="A149" t="inlineStr">
        <is>
          <t>Corporate and Other: EBIT margin</t>
        </is>
      </c>
      <c r="C149" s="20">
        <f>Model!E30+$B$5</f>
        <v/>
      </c>
      <c r="D149" s="20">
        <f>Model!F30+$B$5</f>
        <v/>
      </c>
      <c r="E149" s="20">
        <f>Model!G30+$B$5</f>
        <v/>
      </c>
    </row>
    <row r="150">
      <c r="A150" t="inlineStr">
        <is>
          <t>Corporate and Other: EBIT</t>
        </is>
      </c>
      <c r="C150" s="25">
        <f>C148*C149</f>
        <v/>
      </c>
      <c r="D150" s="25">
        <f>D148*D149</f>
        <v/>
      </c>
      <c r="E150" s="25">
        <f>E148*E149</f>
        <v/>
      </c>
    </row>
    <row r="151">
      <c r="A151" s="21" t="inlineStr">
        <is>
          <t>Total segment revenue</t>
        </is>
      </c>
      <c r="C151" s="25">
        <f>C132+C136+C140+C144+C148</f>
        <v/>
      </c>
      <c r="D151" s="25">
        <f>D132+D136+D140+D144+D148</f>
        <v/>
      </c>
      <c r="E151" s="25">
        <f>E132+E136+E140+E144+E148</f>
        <v/>
      </c>
    </row>
    <row r="152">
      <c r="A152" t="inlineStr">
        <is>
          <t>Total segment EBIT</t>
        </is>
      </c>
      <c r="C152" s="25">
        <f>C134+C138+C142+C146+C150</f>
        <v/>
      </c>
      <c r="D152" s="25">
        <f>D134+D138+D142+D146+D150</f>
        <v/>
      </c>
      <c r="E152" s="25">
        <f>E134+E138+E142+E146+E150</f>
        <v/>
      </c>
    </row>
    <row r="153">
      <c r="A153" t="inlineStr">
        <is>
          <t>Corporate / unallocated EBIT</t>
        </is>
      </c>
      <c r="C153" s="10">
        <f>Model!E33</f>
        <v/>
      </c>
      <c r="D153" s="10">
        <f>Model!F33</f>
        <v/>
      </c>
      <c r="E153" s="10">
        <f>Model!G33</f>
        <v/>
      </c>
    </row>
    <row r="154">
      <c r="A154" s="21" t="inlineStr">
        <is>
          <t>EBIT (segments + corporate)</t>
        </is>
      </c>
      <c r="C154" s="25">
        <f>C152+C153</f>
        <v/>
      </c>
      <c r="D154" s="25">
        <f>D152+D153</f>
        <v/>
      </c>
      <c r="E154" s="25">
        <f>E152+E153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3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T engine calculation: bear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N(Valuation!C86)</f>
        <v/>
      </c>
    </row>
    <row r="5">
      <c r="A5" t="inlineStr">
        <is>
          <t>Scenario Margin Δ</t>
        </is>
      </c>
      <c r="B5" s="12">
        <f>N(Valuation!D86)</f>
        <v/>
      </c>
    </row>
    <row r="6">
      <c r="A6" t="inlineStr">
        <is>
          <t>Scenario Multiple Δ (turns)</t>
        </is>
      </c>
      <c r="B6" s="51">
        <f>N(Valuation!E86)</f>
        <v/>
      </c>
    </row>
    <row r="7">
      <c r="A7" t="inlineStr">
        <is>
          <t>Scenario WACC Δ</t>
        </is>
      </c>
      <c r="B7" s="12">
        <f>N(Valuation!F86)</f>
        <v/>
      </c>
    </row>
    <row r="8">
      <c r="A8" t="inlineStr">
        <is>
          <t>Scenario Multiple %Δ</t>
        </is>
      </c>
      <c r="B8" s="12">
        <f>N(Valuation!G86)</f>
        <v/>
      </c>
    </row>
    <row r="9">
      <c r="A9" t="inlineStr">
        <is>
          <t>Scenario Stated EPS/FCF %Δ</t>
        </is>
      </c>
      <c r="B9" s="12">
        <f>N(Valuation!H86)</f>
        <v/>
      </c>
    </row>
    <row r="10">
      <c r="A10" t="inlineStr">
        <is>
          <t>Scenario Custom %Δ</t>
        </is>
      </c>
      <c r="B10" s="12">
        <f>N(Valuation!I86)</f>
        <v/>
      </c>
    </row>
    <row r="12">
      <c r="A12" t="inlineStr">
        <is>
          <t>WACC</t>
        </is>
      </c>
      <c r="B12" s="20">
        <f>Valuation!$B$52+B7</f>
        <v/>
      </c>
    </row>
    <row r="13">
      <c r="A13" t="inlineStr">
        <is>
          <t>Years from last FY end to target date</t>
        </is>
      </c>
      <c r="B13" s="49">
        <f>(Valuation!$B$46-Valuation!$B$50)/365.25</f>
        <v/>
      </c>
    </row>
    <row r="14">
      <c r="A14" t="inlineStr">
        <is>
          <t>Years from last FY end to balance date</t>
        </is>
      </c>
      <c r="B14" s="49">
        <f>(Valuation!$B$56-Valuation!$B$50)/365.25</f>
        <v/>
      </c>
    </row>
    <row r="15">
      <c r="A15" t="inlineStr">
        <is>
          <t>Years from last FY end to share count date</t>
        </is>
      </c>
      <c r="B15" s="49">
        <f>(Valuation!$B$62-Valuation!$B$50)/365.25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2">
        <f>Valuation!$B$50+ROUND(365.25*C19,0)</f>
        <v/>
      </c>
      <c r="D20" s="22">
        <f>Valuation!$B$50+ROUND(365.25*D19,0)</f>
        <v/>
      </c>
      <c r="E20" s="22">
        <f>Valuation!$B$50+ROUND(365.25*E19,0)</f>
        <v/>
      </c>
    </row>
    <row r="21">
      <c r="A21" t="inlineStr">
        <is>
          <t>Revenue growth</t>
        </is>
      </c>
      <c r="C21" s="20">
        <f>C22/B22-1</f>
        <v/>
      </c>
      <c r="D21" s="20">
        <f>D22/C22-1</f>
        <v/>
      </c>
      <c r="E21" s="20">
        <f>E22/D22-1</f>
        <v/>
      </c>
    </row>
    <row r="22">
      <c r="A22" t="inlineStr">
        <is>
          <t>Revenue</t>
        </is>
      </c>
      <c r="B22" s="25">
        <f>Valuation!$B$51</f>
        <v/>
      </c>
      <c r="C22" s="25">
        <f>C151</f>
        <v/>
      </c>
      <c r="D22" s="25">
        <f>D151</f>
        <v/>
      </c>
      <c r="E22" s="25">
        <f>E151</f>
        <v/>
      </c>
    </row>
    <row r="23">
      <c r="A23" t="inlineStr">
        <is>
          <t>EBIT margin</t>
        </is>
      </c>
      <c r="C23" s="20">
        <f>C24/C22</f>
        <v/>
      </c>
      <c r="D23" s="20">
        <f>D24/D22</f>
        <v/>
      </c>
      <c r="E23" s="20">
        <f>E24/E22</f>
        <v/>
      </c>
    </row>
    <row r="24">
      <c r="A24" t="inlineStr">
        <is>
          <t>EBIT</t>
        </is>
      </c>
      <c r="C24" s="25">
        <f>C154</f>
        <v/>
      </c>
      <c r="D24" s="25">
        <f>D154</f>
        <v/>
      </c>
      <c r="E24" s="25">
        <f>E154</f>
        <v/>
      </c>
    </row>
    <row r="25">
      <c r="A25" t="inlineStr">
        <is>
          <t>Tax rate</t>
        </is>
      </c>
      <c r="C25" s="20">
        <f>Model!E75</f>
        <v/>
      </c>
      <c r="D25" s="20">
        <f>Model!F75</f>
        <v/>
      </c>
      <c r="E25" s="20">
        <f>Model!G75</f>
        <v/>
      </c>
    </row>
    <row r="26">
      <c r="A26" t="inlineStr">
        <is>
          <t>NOPAT</t>
        </is>
      </c>
      <c r="C26" s="25">
        <f>C24*(1-C25)</f>
        <v/>
      </c>
      <c r="D26" s="25">
        <f>D24*(1-D25)</f>
        <v/>
      </c>
      <c r="E26" s="25">
        <f>E24*(1-E25)</f>
        <v/>
      </c>
    </row>
    <row r="27">
      <c r="A27" t="inlineStr">
        <is>
          <t>D&amp;A</t>
        </is>
      </c>
      <c r="C27" s="25">
        <f>C22*(Model!E76)</f>
        <v/>
      </c>
      <c r="D27" s="25">
        <f>D22*(Model!F76)</f>
        <v/>
      </c>
      <c r="E27" s="25">
        <f>E22*(Model!G76)</f>
        <v/>
      </c>
    </row>
    <row r="28">
      <c r="A28" t="inlineStr">
        <is>
          <t>Capex</t>
        </is>
      </c>
      <c r="C28" s="25">
        <f>C22*(Model!E77+$B$250)</f>
        <v/>
      </c>
      <c r="D28" s="25">
        <f>D22*(Model!F77+$B$251)</f>
        <v/>
      </c>
      <c r="E28" s="25">
        <f>E22*(Model!G77+$B$252)</f>
        <v/>
      </c>
    </row>
    <row r="29">
      <c r="A29" t="inlineStr">
        <is>
          <t>Working capital increase</t>
        </is>
      </c>
      <c r="C29" s="25">
        <f>(Model!E78)*(C22-B22)</f>
        <v/>
      </c>
      <c r="D29" s="25">
        <f>(Model!F78)*(D22-C22)</f>
        <v/>
      </c>
      <c r="E29" s="25">
        <f>(Model!G78)*(E22-D22)</f>
        <v/>
      </c>
    </row>
    <row r="30">
      <c r="A30" t="inlineStr">
        <is>
          <t>Stock comp</t>
        </is>
      </c>
      <c r="C30" s="25">
        <f>C22*(Model!E79)</f>
        <v/>
      </c>
      <c r="D30" s="25">
        <f>D22*(Model!F79)</f>
        <v/>
      </c>
      <c r="E30" s="25">
        <f>E22*(Model!G79)</f>
        <v/>
      </c>
    </row>
    <row r="31">
      <c r="A31" t="inlineStr">
        <is>
          <t>Free cash flow to firm</t>
        </is>
      </c>
      <c r="C31" s="25">
        <f>C26+C27-C28-C29-IF(AND(Valuation!$B$48="adjusted",Valuation!$B$49="cost"),C30*(1-C25),0)</f>
        <v/>
      </c>
      <c r="D31" s="25">
        <f>D26+D27-D28-D29-IF(AND(Valuation!$B$48="adjusted",Valuation!$B$49="cost"),D30*(1-D25),0)</f>
        <v/>
      </c>
      <c r="E31" s="25">
        <f>E26+E27-E28-E29-IF(AND(Valuation!$B$48="adjusted",Valuation!$B$49="cost"),E30*(1-E25),0)</f>
        <v/>
      </c>
    </row>
    <row r="32">
      <c r="A32" t="inlineStr">
        <is>
          <t>EBITDA</t>
        </is>
      </c>
      <c r="C32" s="25">
        <f>C24+C27</f>
        <v/>
      </c>
      <c r="D32" s="25">
        <f>D24+D27</f>
        <v/>
      </c>
      <c r="E32" s="25">
        <f>E24+E27</f>
        <v/>
      </c>
    </row>
    <row r="33">
      <c r="A33" t="inlineStr">
        <is>
          <t>Adj. EBITDA</t>
        </is>
      </c>
      <c r="C33" s="25">
        <f>C24+C27+C22*(Model!E83)</f>
        <v/>
      </c>
      <c r="D33" s="25">
        <f>D24+D27+D22*(Model!F83)</f>
        <v/>
      </c>
      <c r="E33" s="25">
        <f>E24+E27+E22*(Model!G83)</f>
        <v/>
      </c>
    </row>
    <row r="34">
      <c r="A34" t="inlineStr">
        <is>
          <t>Shareholder returns + other uses</t>
        </is>
      </c>
      <c r="C34" s="25">
        <f>C22*Model!E81+Model!E80+Model!E82</f>
        <v/>
      </c>
      <c r="D34" s="25">
        <f>D22*Model!F81+Model!F80+Model!F82</f>
        <v/>
      </c>
      <c r="E34" s="25">
        <f>E22*Model!G81+Model!G80+Model!G82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5">
        <f>IF(C35=0,0,C31*C35/(1+$B$12)^(C19-$B$13))</f>
        <v/>
      </c>
      <c r="D36" s="25">
        <f>IF(D35=0,0,D31*D35/(1+$B$12)^(D19-$B$13))</f>
        <v/>
      </c>
      <c r="E36" s="25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21" t="inlineStr">
        <is>
          <t>Value at the target date</t>
        </is>
      </c>
    </row>
    <row r="42">
      <c r="A42" t="inlineStr">
        <is>
          <t>PV of free cash flow after the target date</t>
        </is>
      </c>
      <c r="B42" s="25">
        <f>SUM($C$36:$E$36)</f>
        <v/>
      </c>
    </row>
    <row r="43">
      <c r="A43" t="inlineStr">
        <is>
          <t>Terminal value at final year</t>
        </is>
      </c>
      <c r="B43" s="25">
        <f>IF(Valuation!$B$53="exit_multiple",Valuation!$B$55*E32,E31*(1+Valuation!$B$54)/($B$12-Valuation!$B$54))</f>
        <v/>
      </c>
    </row>
    <row r="44">
      <c r="A44" t="inlineStr">
        <is>
          <t>PV of terminal value at target date</t>
        </is>
      </c>
      <c r="B44" s="25">
        <f>B43/(1+$B$12)^($B$16-$B$13)</f>
        <v/>
      </c>
    </row>
    <row r="45">
      <c r="A45" t="inlineStr">
        <is>
          <t>DCF enterprise value at target date</t>
        </is>
      </c>
      <c r="B45" s="25">
        <f>B42+B44</f>
        <v/>
      </c>
    </row>
    <row r="46">
      <c r="A46" t="inlineStr">
        <is>
          <t>Terminal value share of DCF</t>
        </is>
      </c>
      <c r="B46" s="20">
        <f>B44/B45</f>
        <v/>
      </c>
    </row>
    <row r="47">
      <c r="A47" t="inlineStr">
        <is>
          <t>Free cash flow earned, balance date to target date</t>
        </is>
      </c>
      <c r="B47" s="25">
        <f>SUMPRODUCT($C$37:$E$37,$C$31:$E$31)</f>
        <v/>
      </c>
    </row>
    <row r="48">
      <c r="A48" t="inlineStr">
        <is>
          <t>Shareholder returns + other uses paid</t>
        </is>
      </c>
      <c r="B48" s="25">
        <f>SUMPRODUCT($C$37:$E$37,$C$34:$E$34)</f>
        <v/>
      </c>
    </row>
    <row r="49">
      <c r="A49" t="inlineStr">
        <is>
          <t>Interest drag on net debt</t>
        </is>
      </c>
      <c r="B49" s="25">
        <f>Valuation!$B$59*(1-$C$25)*MAX(Valuation!$B$57,0)*MAX($B$13-$B$14,0)</f>
        <v/>
      </c>
    </row>
    <row r="50">
      <c r="A50" t="inlineStr">
        <is>
          <t>Net debt at target date</t>
        </is>
      </c>
      <c r="B50" s="25">
        <f>IF(Valuation!$B$60="",Valuation!$B$57-B47+B49+B48,Valuation!$B$60)</f>
        <v/>
      </c>
    </row>
    <row r="51">
      <c r="A51" t="inlineStr">
        <is>
          <t>Minority interests</t>
        </is>
      </c>
      <c r="B51" s="25">
        <f>Valuation!$B$58</f>
        <v/>
      </c>
    </row>
    <row r="52">
      <c r="A52" t="inlineStr">
        <is>
          <t>Adjustments (probability-weighted)</t>
        </is>
      </c>
      <c r="B52" s="25">
        <f>(Valuation!B79)*Valuation!C79+(Valuation!B80)*Valuation!C80+0</f>
        <v/>
      </c>
    </row>
    <row r="53">
      <c r="A53" t="inlineStr">
        <is>
          <t>Diluted shares at target date (M)</t>
        </is>
      </c>
      <c r="B53" s="30">
        <f>IF(Valuation!$B$64="",Valuation!$B$61*(1+Valuation!$B$63)^MAX($B$13-$B$15,0),Valuation!$B$64)</f>
        <v/>
      </c>
    </row>
    <row r="54">
      <c r="A54" t="inlineStr">
        <is>
          <t>After-tax interest on target-date net debt</t>
        </is>
      </c>
      <c r="B54" s="25">
        <f>Valuation!$B$59*(1-$C$25)*MAX(B50,0)</f>
        <v/>
      </c>
    </row>
    <row r="55">
      <c r="A55" t="inlineStr">
        <is>
          <t>Check: WACC vs terminal growth</t>
        </is>
      </c>
      <c r="B55">
        <f>IF(AND(Valuation!$B$53&lt;&gt;"exit_multiple",$B$12&lt;=Valuation!$B$54+0.01),"WACC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5">
        <f>SUMPRODUCT($C$38:$E$38,$C$22:$E$22)</f>
        <v/>
      </c>
      <c r="C59" s="25">
        <f>SUMPRODUCT($C$39:$E$39,$C$22:$E$22)+$B$39*$B$22</f>
        <v/>
      </c>
    </row>
    <row r="60">
      <c r="A60" t="inlineStr">
        <is>
          <t>EBIT</t>
        </is>
      </c>
      <c r="B60" s="25">
        <f>SUMPRODUCT($C$38:$E$38,$C$24:$E$24)</f>
        <v/>
      </c>
      <c r="C60" s="25">
        <f>SUMPRODUCT($C$39:$E$39,$C$24:$E$24)</f>
        <v/>
      </c>
    </row>
    <row r="61">
      <c r="A61" t="inlineStr">
        <is>
          <t>EBITDA</t>
        </is>
      </c>
      <c r="B61" s="25">
        <f>SUMPRODUCT($C$38:$E$38,$C$32:$E$32)</f>
        <v/>
      </c>
      <c r="C61" s="25">
        <f>SUMPRODUCT($C$39:$E$39,$C$32:$E$32)</f>
        <v/>
      </c>
    </row>
    <row r="62">
      <c r="A62" t="inlineStr">
        <is>
          <t>Adj. EBITDA</t>
        </is>
      </c>
      <c r="B62" s="25">
        <f>SUMPRODUCT($C$38:$E$38,$C$33:$E$33)</f>
        <v/>
      </c>
      <c r="C62" s="25">
        <f>SUMPRODUCT($C$39:$E$39,$C$33:$E$33)</f>
        <v/>
      </c>
    </row>
    <row r="63">
      <c r="A63" t="inlineStr">
        <is>
          <t>NOPAT</t>
        </is>
      </c>
      <c r="B63" s="25">
        <f>SUMPRODUCT($C$38:$E$38,$C$26:$E$26)</f>
        <v/>
      </c>
      <c r="C63" s="25">
        <f>SUMPRODUCT($C$39:$E$39,$C$26:$E$26)</f>
        <v/>
      </c>
    </row>
    <row r="64">
      <c r="A64" t="inlineStr">
        <is>
          <t>Free cash flow to firm</t>
        </is>
      </c>
      <c r="B64" s="25">
        <f>SUMPRODUCT($C$38:$E$38,$C$31:$E$31)</f>
        <v/>
      </c>
      <c r="C64" s="25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20">
        <f>Valuation!$B$65</f>
        <v/>
      </c>
    </row>
    <row r="68">
      <c r="A68">
        <f>"Multiple: "&amp;Valuation!A71&amp;" ("&amp;Valuation!D71&amp;")"</f>
        <v/>
      </c>
      <c r="B68">
        <f>Valuation!A71</f>
        <v/>
      </c>
      <c r="C68" s="9">
        <f>IF(B68="FCF yield",(Valuation!B71)*(1-$B$8),(Valuation!B71)+IF(B68="EV/sales",0.1,1)*$B$6)</f>
        <v/>
      </c>
      <c r="D68">
        <f>Valuation!D71</f>
        <v/>
      </c>
      <c r="E68" s="25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71&lt;&gt;"",C68*(Valuation!F71)*(1+$B$9),C68*(E68-$B$54)/$B$53),IF(Valuation!G71&lt;&gt;"",(Valuation!G71)*(1+$B$9)/C68,(E68-IF(Valuation!H71,$B$54,0))/C68/$B$53))+$B$52/$B$53)</f>
        <v/>
      </c>
      <c r="G68" s="20">
        <f>Valuation!C71</f>
        <v/>
      </c>
      <c r="H68">
        <f>IF(B68="EV/sales",1,IF(B68="EV/EBIT",2,IF(B68="EV/EBITDA",IF(Valuation!E71="adjusted",4,3),IF(B68="P/E",5,6))))</f>
        <v/>
      </c>
      <c r="I68" s="50">
        <f>IF(AND(B68="P/E",Valuation!F71&lt;&gt;""),(Valuation!F71)*(1+$B$9),IF(AND(B68="FCF yield",Valuation!G71&lt;&gt;""),(Valuation!G71)*(1+$B$9),E68))</f>
        <v/>
      </c>
    </row>
    <row r="69">
      <c r="A69">
        <f>"Multiple: "&amp;Valuation!A72&amp;" ("&amp;Valuation!D72&amp;")"</f>
        <v/>
      </c>
      <c r="B69">
        <f>Valuation!A72</f>
        <v/>
      </c>
      <c r="C69" s="9">
        <f>IF(B69="FCF yield",(Valuation!B72)*(1-$B$8),(Valuation!B72)+IF(B69="EV/sales",0.1,1)*$B$6)</f>
        <v/>
      </c>
      <c r="D69">
        <f>Valuation!D72</f>
        <v/>
      </c>
      <c r="E69" s="25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72&lt;&gt;"",C69*(Valuation!F72+$B$262)*(1+$B$9),C69*(E69-$B$54)/$B$53),IF(Valuation!G72&lt;&gt;"",(Valuation!G72)*(1+$B$9)/C69,(E69-IF(Valuation!H72,$B$54,0))/C69/$B$53))+$B$52/$B$53)</f>
        <v/>
      </c>
      <c r="G69" s="20">
        <f>Valuation!C72</f>
        <v/>
      </c>
      <c r="H69">
        <f>IF(B69="EV/sales",1,IF(B69="EV/EBIT",2,IF(B69="EV/EBITDA",IF(Valuation!E72="adjusted",4,3),IF(B69="P/E",5,6))))</f>
        <v/>
      </c>
      <c r="I69" s="50">
        <f>IF(AND(B69="P/E",Valuation!F72&lt;&gt;""),(Valuation!F72+$B$262)*(1+$B$9),IF(AND(B69="FCF yield",Valuation!G72&lt;&gt;""),(Valuation!G72)*(1+$B$9),E69))</f>
        <v/>
      </c>
    </row>
    <row r="70">
      <c r="A70">
        <f>"Multiple: "&amp;Valuation!A73&amp;" ("&amp;Valuation!D73&amp;")"</f>
        <v/>
      </c>
      <c r="B70">
        <f>Valuation!A73</f>
        <v/>
      </c>
      <c r="C70" s="9">
        <f>IF(B70="FCF yield",(Valuation!B73)*(1-$B$8),(Valuation!B73)+IF(B70="EV/sales",0.1,1)*$B$6)</f>
        <v/>
      </c>
      <c r="D70">
        <f>Valuation!D73</f>
        <v/>
      </c>
      <c r="E70" s="25">
        <f>IF(D70="ltm",CHOOSE(H70,$C$59,$C$60,$C$61,$C$62,$C$63,$C$64),CHOOSE(H70,$B$59,$B$60,$B$61,$B$62,$B$63,$B$64))</f>
        <v/>
      </c>
      <c r="F70" s="9">
        <f>IF(OR(B70="EV/EBITDA",B70="EV/sales",B70="EV/EBIT"),((C70*E70)-$B$50-$B$51+$B$52)/$B$53,IF(B70="P/E",IF(Valuation!F73&lt;&gt;"",C70*(Valuation!F73)*(1+$B$9),C70*(E70-$B$54)/$B$53),IF(Valuation!G73&lt;&gt;"",(Valuation!G73+$B$263)*(1+$B$9)/C70,(E70-IF(Valuation!H73,$B$54,0))/C70/$B$53))+$B$52/$B$53)</f>
        <v/>
      </c>
      <c r="G70" s="20">
        <f>Valuation!C73</f>
        <v/>
      </c>
      <c r="H70">
        <f>IF(B70="EV/sales",1,IF(B70="EV/EBIT",2,IF(B70="EV/EBITDA",IF(Valuation!E73="adjusted",4,3),IF(B70="P/E",5,6))))</f>
        <v/>
      </c>
      <c r="I70" s="50">
        <f>IF(AND(B70="P/E",Valuation!F73&lt;&gt;""),(Valuation!F73)*(1+$B$9),IF(AND(B70="FCF yield",Valuation!G73&lt;&gt;""),(Valuation!G73+$B$263)*(1+$B$9),E70))</f>
        <v/>
      </c>
    </row>
    <row r="71">
      <c r="A71" s="21" t="inlineStr">
        <is>
          <t>Value per share at target date (weighted methods)</t>
        </is>
      </c>
      <c r="F71" s="6">
        <f>SUMPRODUCT(F67:F70,G67:G70)/SUM(G67:G70)</f>
        <v/>
      </c>
    </row>
    <row r="129">
      <c r="A129" s="21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AC Wireless and Home: revenue growth</t>
        </is>
      </c>
      <c r="C131" s="20">
        <f>Model!E12+$B$4+$B$253</f>
        <v/>
      </c>
      <c r="D131" s="20">
        <f>Model!F12+$B$4+$B$255</f>
        <v/>
      </c>
      <c r="E131" s="20">
        <f>Model!G12+$B$4+$B$257</f>
        <v/>
      </c>
    </row>
    <row r="132">
      <c r="A132" t="inlineStr">
        <is>
          <t>AC Wireless and Home: revenue</t>
        </is>
      </c>
      <c r="B132" s="10">
        <f>Valuation!$B$91</f>
        <v/>
      </c>
      <c r="C132" s="25">
        <f>B132*(1+C131)</f>
        <v/>
      </c>
      <c r="D132" s="25">
        <f>C132*(1+D131)</f>
        <v/>
      </c>
      <c r="E132" s="25">
        <f>D132*(1+E131)</f>
        <v/>
      </c>
    </row>
    <row r="133">
      <c r="A133" t="inlineStr">
        <is>
          <t>AC Wireless and Home: EBIT margin</t>
        </is>
      </c>
      <c r="C133" s="20">
        <f>Model!E14+$B$5+$B$254</f>
        <v/>
      </c>
      <c r="D133" s="20">
        <f>Model!F14+$B$5+$B$256</f>
        <v/>
      </c>
      <c r="E133" s="20">
        <f>Model!G14+$B$5+$B$258</f>
        <v/>
      </c>
    </row>
    <row r="134">
      <c r="A134" t="inlineStr">
        <is>
          <t>AC Wireless and Home: EBIT</t>
        </is>
      </c>
      <c r="C134" s="25">
        <f>C132*C133</f>
        <v/>
      </c>
      <c r="D134" s="25">
        <f>D132*D133</f>
        <v/>
      </c>
      <c r="E134" s="25">
        <f>E132*E133</f>
        <v/>
      </c>
    </row>
    <row r="135">
      <c r="A135" t="inlineStr">
        <is>
          <t>AC Business Wireline and Other: revenue growth</t>
        </is>
      </c>
      <c r="C135" s="20">
        <f>Model!E16+$B$4</f>
        <v/>
      </c>
      <c r="D135" s="20">
        <f>Model!F16+$B$4</f>
        <v/>
      </c>
      <c r="E135" s="20">
        <f>Model!G16+$B$4</f>
        <v/>
      </c>
    </row>
    <row r="136">
      <c r="A136" t="inlineStr">
        <is>
          <t>AC Business Wireline and Other: revenue</t>
        </is>
      </c>
      <c r="B136" s="10">
        <f>Valuation!$B$92</f>
        <v/>
      </c>
      <c r="C136" s="25">
        <f>B136*(1+C135)</f>
        <v/>
      </c>
      <c r="D136" s="25">
        <f>C136*(1+D135)</f>
        <v/>
      </c>
      <c r="E136" s="25">
        <f>D136*(1+E135)</f>
        <v/>
      </c>
    </row>
    <row r="137">
      <c r="A137" t="inlineStr">
        <is>
          <t>AC Business Wireline and Other: EBIT margin</t>
        </is>
      </c>
      <c r="C137" s="20">
        <f>Model!E18+$B$5+$B$259</f>
        <v/>
      </c>
      <c r="D137" s="20">
        <f>Model!F18+$B$5+$B$260</f>
        <v/>
      </c>
      <c r="E137" s="20">
        <f>Model!G18+$B$5+$B$261</f>
        <v/>
      </c>
    </row>
    <row r="138">
      <c r="A138" t="inlineStr">
        <is>
          <t>AC Business Wireline and Other: EBIT</t>
        </is>
      </c>
      <c r="C138" s="25">
        <f>C136*C137</f>
        <v/>
      </c>
      <c r="D138" s="25">
        <f>D136*D137</f>
        <v/>
      </c>
      <c r="E138" s="25">
        <f>E136*E137</f>
        <v/>
      </c>
    </row>
    <row r="139">
      <c r="A139" t="inlineStr">
        <is>
          <t>Legacy: revenue growth</t>
        </is>
      </c>
      <c r="C139" s="20">
        <f>Model!E20+$B$4</f>
        <v/>
      </c>
      <c r="D139" s="20">
        <f>Model!F20+$B$4</f>
        <v/>
      </c>
      <c r="E139" s="20">
        <f>Model!G20+$B$4</f>
        <v/>
      </c>
    </row>
    <row r="140">
      <c r="A140" t="inlineStr">
        <is>
          <t>Legacy: revenue</t>
        </is>
      </c>
      <c r="B140" s="10">
        <f>Valuation!$B$93</f>
        <v/>
      </c>
      <c r="C140" s="25">
        <f>B140*(1+C139)</f>
        <v/>
      </c>
      <c r="D140" s="25">
        <f>C140*(1+D139)</f>
        <v/>
      </c>
      <c r="E140" s="25">
        <f>D140*(1+E139)</f>
        <v/>
      </c>
    </row>
    <row r="141">
      <c r="A141" t="inlineStr">
        <is>
          <t>Legacy: EBIT margin</t>
        </is>
      </c>
      <c r="C141" s="20">
        <f>Model!E22+$B$5</f>
        <v/>
      </c>
      <c r="D141" s="20">
        <f>Model!F22+$B$5</f>
        <v/>
      </c>
      <c r="E141" s="20">
        <f>Model!G22+$B$5</f>
        <v/>
      </c>
    </row>
    <row r="142">
      <c r="A142" t="inlineStr">
        <is>
          <t>Legacy: EBIT</t>
        </is>
      </c>
      <c r="C142" s="25">
        <f>C140*C141</f>
        <v/>
      </c>
      <c r="D142" s="25">
        <f>D140*D141</f>
        <v/>
      </c>
      <c r="E142" s="25">
        <f>E140*E141</f>
        <v/>
      </c>
    </row>
    <row r="143">
      <c r="A143" t="inlineStr">
        <is>
          <t>Latin America: revenue growth</t>
        </is>
      </c>
      <c r="C143" s="20">
        <f>Model!E24+$B$4</f>
        <v/>
      </c>
      <c r="D143" s="20">
        <f>Model!F24+$B$4</f>
        <v/>
      </c>
      <c r="E143" s="20">
        <f>Model!G24+$B$4</f>
        <v/>
      </c>
    </row>
    <row r="144">
      <c r="A144" t="inlineStr">
        <is>
          <t>Latin America: revenue</t>
        </is>
      </c>
      <c r="B144" s="10">
        <f>Valuation!$B$94</f>
        <v/>
      </c>
      <c r="C144" s="25">
        <f>B144*(1+C143)</f>
        <v/>
      </c>
      <c r="D144" s="25">
        <f>C144*(1+D143)</f>
        <v/>
      </c>
      <c r="E144" s="25">
        <f>D144*(1+E143)</f>
        <v/>
      </c>
    </row>
    <row r="145">
      <c r="A145" t="inlineStr">
        <is>
          <t>Latin America: EBIT margin</t>
        </is>
      </c>
      <c r="C145" s="20">
        <f>Model!E26+$B$5</f>
        <v/>
      </c>
      <c r="D145" s="20">
        <f>Model!F26+$B$5</f>
        <v/>
      </c>
      <c r="E145" s="20">
        <f>Model!G26+$B$5</f>
        <v/>
      </c>
    </row>
    <row r="146">
      <c r="A146" t="inlineStr">
        <is>
          <t>Latin America: EBIT</t>
        </is>
      </c>
      <c r="C146" s="25">
        <f>C144*C145</f>
        <v/>
      </c>
      <c r="D146" s="25">
        <f>D144*D145</f>
        <v/>
      </c>
      <c r="E146" s="25">
        <f>E144*E145</f>
        <v/>
      </c>
    </row>
    <row r="147">
      <c r="A147" t="inlineStr">
        <is>
          <t>Corporate and Other: revenue growth</t>
        </is>
      </c>
      <c r="C147" s="20">
        <f>Model!E28+$B$4</f>
        <v/>
      </c>
      <c r="D147" s="20">
        <f>Model!F28+$B$4</f>
        <v/>
      </c>
      <c r="E147" s="20">
        <f>Model!G28+$B$4</f>
        <v/>
      </c>
    </row>
    <row r="148">
      <c r="A148" t="inlineStr">
        <is>
          <t>Corporate and Other: revenue</t>
        </is>
      </c>
      <c r="B148" s="10">
        <f>Valuation!$B$95</f>
        <v/>
      </c>
      <c r="C148" s="25">
        <f>B148*(1+C147)</f>
        <v/>
      </c>
      <c r="D148" s="25">
        <f>C148*(1+D147)</f>
        <v/>
      </c>
      <c r="E148" s="25">
        <f>D148*(1+E147)</f>
        <v/>
      </c>
    </row>
    <row r="149">
      <c r="A149" t="inlineStr">
        <is>
          <t>Corporate and Other: EBIT margin</t>
        </is>
      </c>
      <c r="C149" s="20">
        <f>Model!E30+$B$5</f>
        <v/>
      </c>
      <c r="D149" s="20">
        <f>Model!F30+$B$5</f>
        <v/>
      </c>
      <c r="E149" s="20">
        <f>Model!G30+$B$5</f>
        <v/>
      </c>
    </row>
    <row r="150">
      <c r="A150" t="inlineStr">
        <is>
          <t>Corporate and Other: EBIT</t>
        </is>
      </c>
      <c r="C150" s="25">
        <f>C148*C149</f>
        <v/>
      </c>
      <c r="D150" s="25">
        <f>D148*D149</f>
        <v/>
      </c>
      <c r="E150" s="25">
        <f>E148*E149</f>
        <v/>
      </c>
    </row>
    <row r="151">
      <c r="A151" s="21" t="inlineStr">
        <is>
          <t>Total segment revenue</t>
        </is>
      </c>
      <c r="C151" s="25">
        <f>C132+C136+C140+C144+C148</f>
        <v/>
      </c>
      <c r="D151" s="25">
        <f>D132+D136+D140+D144+D148</f>
        <v/>
      </c>
      <c r="E151" s="25">
        <f>E132+E136+E140+E144+E148</f>
        <v/>
      </c>
    </row>
    <row r="152">
      <c r="A152" t="inlineStr">
        <is>
          <t>Total segment EBIT</t>
        </is>
      </c>
      <c r="C152" s="25">
        <f>C134+C138+C142+C146+C150</f>
        <v/>
      </c>
      <c r="D152" s="25">
        <f>D134+D138+D142+D146+D150</f>
        <v/>
      </c>
      <c r="E152" s="25">
        <f>E134+E138+E142+E146+E150</f>
        <v/>
      </c>
    </row>
    <row r="153">
      <c r="A153" t="inlineStr">
        <is>
          <t>Corporate / unallocated EBIT</t>
        </is>
      </c>
      <c r="C153" s="10">
        <f>Model!E33</f>
        <v/>
      </c>
      <c r="D153" s="10">
        <f>Model!F33</f>
        <v/>
      </c>
      <c r="E153" s="10">
        <f>Model!G33</f>
        <v/>
      </c>
    </row>
    <row r="154">
      <c r="A154" s="21" t="inlineStr">
        <is>
          <t>EBIT (segments + corporate)</t>
        </is>
      </c>
      <c r="C154" s="25">
        <f>C152+C153</f>
        <v/>
      </c>
      <c r="D154" s="25">
        <f>D152+D153</f>
        <v/>
      </c>
      <c r="E154" s="25">
        <f>E152+E153</f>
        <v/>
      </c>
    </row>
    <row r="249">
      <c r="A249" s="21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Capex % revenue, year 1</t>
        </is>
      </c>
      <c r="B250" s="52" t="n">
        <v>0.004328817543563707</v>
      </c>
    </row>
    <row r="251">
      <c r="A251" t="inlineStr">
        <is>
          <t>Capex % revenue, year 2</t>
        </is>
      </c>
      <c r="B251" s="52" t="n">
        <v>0.004521271048596148</v>
      </c>
    </row>
    <row r="252">
      <c r="A252" t="inlineStr">
        <is>
          <t>Capex % revenue, year 3</t>
        </is>
      </c>
      <c r="B252" s="52" t="n">
        <v>0.00456593554992657</v>
      </c>
    </row>
    <row r="253">
      <c r="A253" t="inlineStr">
        <is>
          <t>AC Wireless and Home: revenue growth, year 1</t>
        </is>
      </c>
      <c r="B253" s="52" t="n">
        <v>-0.03026214508830005</v>
      </c>
    </row>
    <row r="254">
      <c r="A254" t="inlineStr">
        <is>
          <t>AC Wireless and Home: EBIT margin, year 1</t>
        </is>
      </c>
      <c r="B254" s="52" t="n">
        <v>-0.01200000000000001</v>
      </c>
    </row>
    <row r="255">
      <c r="A255" t="inlineStr">
        <is>
          <t>AC Wireless and Home: revenue growth, year 2</t>
        </is>
      </c>
      <c r="B255" s="52" t="n">
        <v>-8.59359612008781e-05</v>
      </c>
    </row>
    <row r="256">
      <c r="A256" t="inlineStr">
        <is>
          <t>AC Wireless and Home: EBIT margin, year 2</t>
        </is>
      </c>
      <c r="B256" s="52" t="n">
        <v>-0.01199999999999998</v>
      </c>
    </row>
    <row r="257">
      <c r="A257" t="inlineStr">
        <is>
          <t>AC Wireless and Home: revenue growth, year 3</t>
        </is>
      </c>
      <c r="B257" s="52" t="n">
        <v>-5.057242040118481e-05</v>
      </c>
    </row>
    <row r="258">
      <c r="A258" t="inlineStr">
        <is>
          <t>AC Wireless and Home: EBIT margin, year 3</t>
        </is>
      </c>
      <c r="B258" s="52" t="n">
        <v>-0.01200000000000001</v>
      </c>
    </row>
    <row r="259">
      <c r="A259" t="inlineStr">
        <is>
          <t>AC Business Wireline and Other: EBIT margin, year 1</t>
        </is>
      </c>
      <c r="B259" s="52" t="n">
        <v>-0.01200000000000001</v>
      </c>
    </row>
    <row r="260">
      <c r="A260" t="inlineStr">
        <is>
          <t>AC Business Wireline and Other: EBIT margin, year 2</t>
        </is>
      </c>
      <c r="B260" s="52" t="n">
        <v>-0.01199999999999998</v>
      </c>
    </row>
    <row r="261">
      <c r="A261" t="inlineStr">
        <is>
          <t>AC Business Wireline and Other: EBIT margin, year 3</t>
        </is>
      </c>
      <c r="B261" s="52" t="n">
        <v>-0.01200000000000001</v>
      </c>
    </row>
    <row r="262">
      <c r="A262" t="inlineStr">
        <is>
          <t>Stated EPS, multiple 2</t>
        </is>
      </c>
      <c r="B262" s="52" t="n">
        <v>-0.2908608274515476</v>
      </c>
    </row>
    <row r="263">
      <c r="A263" t="inlineStr">
        <is>
          <t>Stated FCF/share, multiple 3</t>
        </is>
      </c>
      <c r="B263" s="52" t="n">
        <v>-0.4414393430302304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4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T engine calculation: base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N(Valuation!C87)</f>
        <v/>
      </c>
    </row>
    <row r="5">
      <c r="A5" t="inlineStr">
        <is>
          <t>Scenario Margin Δ</t>
        </is>
      </c>
      <c r="B5" s="12">
        <f>N(Valuation!D87)</f>
        <v/>
      </c>
    </row>
    <row r="6">
      <c r="A6" t="inlineStr">
        <is>
          <t>Scenario Multiple Δ (turns)</t>
        </is>
      </c>
      <c r="B6" s="51">
        <f>N(Valuation!E87)</f>
        <v/>
      </c>
    </row>
    <row r="7">
      <c r="A7" t="inlineStr">
        <is>
          <t>Scenario WACC Δ</t>
        </is>
      </c>
      <c r="B7" s="12">
        <f>N(Valuation!F87)</f>
        <v/>
      </c>
    </row>
    <row r="8">
      <c r="A8" t="inlineStr">
        <is>
          <t>Scenario Multiple %Δ</t>
        </is>
      </c>
      <c r="B8" s="12">
        <f>N(Valuation!G87)</f>
        <v/>
      </c>
    </row>
    <row r="9">
      <c r="A9" t="inlineStr">
        <is>
          <t>Scenario Stated EPS/FCF %Δ</t>
        </is>
      </c>
      <c r="B9" s="12">
        <f>N(Valuation!H87)</f>
        <v/>
      </c>
    </row>
    <row r="10">
      <c r="A10" t="inlineStr">
        <is>
          <t>Scenario Custom %Δ</t>
        </is>
      </c>
      <c r="B10" s="12">
        <f>N(Valuation!I87)</f>
        <v/>
      </c>
    </row>
    <row r="12">
      <c r="A12" t="inlineStr">
        <is>
          <t>WACC</t>
        </is>
      </c>
      <c r="B12" s="20">
        <f>Valuation!$B$52+B7</f>
        <v/>
      </c>
    </row>
    <row r="13">
      <c r="A13" t="inlineStr">
        <is>
          <t>Years from last FY end to target date</t>
        </is>
      </c>
      <c r="B13" s="49">
        <f>(Valuation!$B$46-Valuation!$B$50)/365.25</f>
        <v/>
      </c>
    </row>
    <row r="14">
      <c r="A14" t="inlineStr">
        <is>
          <t>Years from last FY end to balance date</t>
        </is>
      </c>
      <c r="B14" s="49">
        <f>(Valuation!$B$56-Valuation!$B$50)/365.25</f>
        <v/>
      </c>
    </row>
    <row r="15">
      <c r="A15" t="inlineStr">
        <is>
          <t>Years from last FY end to share count date</t>
        </is>
      </c>
      <c r="B15" s="49">
        <f>(Valuation!$B$62-Valuation!$B$50)/365.25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2">
        <f>Valuation!$B$50+ROUND(365.25*C19,0)</f>
        <v/>
      </c>
      <c r="D20" s="22">
        <f>Valuation!$B$50+ROUND(365.25*D19,0)</f>
        <v/>
      </c>
      <c r="E20" s="22">
        <f>Valuation!$B$50+ROUND(365.25*E19,0)</f>
        <v/>
      </c>
    </row>
    <row r="21">
      <c r="A21" t="inlineStr">
        <is>
          <t>Revenue growth</t>
        </is>
      </c>
      <c r="C21" s="20">
        <f>C22/B22-1</f>
        <v/>
      </c>
      <c r="D21" s="20">
        <f>D22/C22-1</f>
        <v/>
      </c>
      <c r="E21" s="20">
        <f>E22/D22-1</f>
        <v/>
      </c>
    </row>
    <row r="22">
      <c r="A22" t="inlineStr">
        <is>
          <t>Revenue</t>
        </is>
      </c>
      <c r="B22" s="25">
        <f>Valuation!$B$51</f>
        <v/>
      </c>
      <c r="C22" s="25">
        <f>C151</f>
        <v/>
      </c>
      <c r="D22" s="25">
        <f>D151</f>
        <v/>
      </c>
      <c r="E22" s="25">
        <f>E151</f>
        <v/>
      </c>
    </row>
    <row r="23">
      <c r="A23" t="inlineStr">
        <is>
          <t>EBIT margin</t>
        </is>
      </c>
      <c r="C23" s="20">
        <f>C24/C22</f>
        <v/>
      </c>
      <c r="D23" s="20">
        <f>D24/D22</f>
        <v/>
      </c>
      <c r="E23" s="20">
        <f>E24/E22</f>
        <v/>
      </c>
    </row>
    <row r="24">
      <c r="A24" t="inlineStr">
        <is>
          <t>EBIT</t>
        </is>
      </c>
      <c r="C24" s="25">
        <f>C154</f>
        <v/>
      </c>
      <c r="D24" s="25">
        <f>D154</f>
        <v/>
      </c>
      <c r="E24" s="25">
        <f>E154</f>
        <v/>
      </c>
    </row>
    <row r="25">
      <c r="A25" t="inlineStr">
        <is>
          <t>Tax rate</t>
        </is>
      </c>
      <c r="C25" s="20">
        <f>Model!E75</f>
        <v/>
      </c>
      <c r="D25" s="20">
        <f>Model!F75</f>
        <v/>
      </c>
      <c r="E25" s="20">
        <f>Model!G75</f>
        <v/>
      </c>
    </row>
    <row r="26">
      <c r="A26" t="inlineStr">
        <is>
          <t>NOPAT</t>
        </is>
      </c>
      <c r="C26" s="25">
        <f>C24*(1-C25)</f>
        <v/>
      </c>
      <c r="D26" s="25">
        <f>D24*(1-D25)</f>
        <v/>
      </c>
      <c r="E26" s="25">
        <f>E24*(1-E25)</f>
        <v/>
      </c>
    </row>
    <row r="27">
      <c r="A27" t="inlineStr">
        <is>
          <t>D&amp;A</t>
        </is>
      </c>
      <c r="C27" s="25">
        <f>C22*(Model!E76)</f>
        <v/>
      </c>
      <c r="D27" s="25">
        <f>D22*(Model!F76)</f>
        <v/>
      </c>
      <c r="E27" s="25">
        <f>E22*(Model!G76)</f>
        <v/>
      </c>
    </row>
    <row r="28">
      <c r="A28" t="inlineStr">
        <is>
          <t>Capex</t>
        </is>
      </c>
      <c r="C28" s="25">
        <f>C22*(Model!E77)</f>
        <v/>
      </c>
      <c r="D28" s="25">
        <f>D22*(Model!F77)</f>
        <v/>
      </c>
      <c r="E28" s="25">
        <f>E22*(Model!G77)</f>
        <v/>
      </c>
    </row>
    <row r="29">
      <c r="A29" t="inlineStr">
        <is>
          <t>Working capital increase</t>
        </is>
      </c>
      <c r="C29" s="25">
        <f>(Model!E78)*(C22-B22)</f>
        <v/>
      </c>
      <c r="D29" s="25">
        <f>(Model!F78)*(D22-C22)</f>
        <v/>
      </c>
      <c r="E29" s="25">
        <f>(Model!G78)*(E22-D22)</f>
        <v/>
      </c>
    </row>
    <row r="30">
      <c r="A30" t="inlineStr">
        <is>
          <t>Stock comp</t>
        </is>
      </c>
      <c r="C30" s="25">
        <f>C22*(Model!E79)</f>
        <v/>
      </c>
      <c r="D30" s="25">
        <f>D22*(Model!F79)</f>
        <v/>
      </c>
      <c r="E30" s="25">
        <f>E22*(Model!G79)</f>
        <v/>
      </c>
    </row>
    <row r="31">
      <c r="A31" t="inlineStr">
        <is>
          <t>Free cash flow to firm</t>
        </is>
      </c>
      <c r="C31" s="25">
        <f>C26+C27-C28-C29-IF(AND(Valuation!$B$48="adjusted",Valuation!$B$49="cost"),C30*(1-C25),0)</f>
        <v/>
      </c>
      <c r="D31" s="25">
        <f>D26+D27-D28-D29-IF(AND(Valuation!$B$48="adjusted",Valuation!$B$49="cost"),D30*(1-D25),0)</f>
        <v/>
      </c>
      <c r="E31" s="25">
        <f>E26+E27-E28-E29-IF(AND(Valuation!$B$48="adjusted",Valuation!$B$49="cost"),E30*(1-E25),0)</f>
        <v/>
      </c>
    </row>
    <row r="32">
      <c r="A32" t="inlineStr">
        <is>
          <t>EBITDA</t>
        </is>
      </c>
      <c r="C32" s="25">
        <f>C24+C27</f>
        <v/>
      </c>
      <c r="D32" s="25">
        <f>D24+D27</f>
        <v/>
      </c>
      <c r="E32" s="25">
        <f>E24+E27</f>
        <v/>
      </c>
    </row>
    <row r="33">
      <c r="A33" t="inlineStr">
        <is>
          <t>Adj. EBITDA</t>
        </is>
      </c>
      <c r="C33" s="25">
        <f>C24+C27+C22*(Model!E83)</f>
        <v/>
      </c>
      <c r="D33" s="25">
        <f>D24+D27+D22*(Model!F83)</f>
        <v/>
      </c>
      <c r="E33" s="25">
        <f>E24+E27+E22*(Model!G83)</f>
        <v/>
      </c>
    </row>
    <row r="34">
      <c r="A34" t="inlineStr">
        <is>
          <t>Shareholder returns + other uses</t>
        </is>
      </c>
      <c r="C34" s="25">
        <f>C22*Model!E81+Model!E80+Model!E82</f>
        <v/>
      </c>
      <c r="D34" s="25">
        <f>D22*Model!F81+Model!F80+Model!F82</f>
        <v/>
      </c>
      <c r="E34" s="25">
        <f>E22*Model!G81+Model!G80+Model!G82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5">
        <f>IF(C35=0,0,C31*C35/(1+$B$12)^(C19-$B$13))</f>
        <v/>
      </c>
      <c r="D36" s="25">
        <f>IF(D35=0,0,D31*D35/(1+$B$12)^(D19-$B$13))</f>
        <v/>
      </c>
      <c r="E36" s="25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21" t="inlineStr">
        <is>
          <t>Value at the target date</t>
        </is>
      </c>
    </row>
    <row r="42">
      <c r="A42" t="inlineStr">
        <is>
          <t>PV of free cash flow after the target date</t>
        </is>
      </c>
      <c r="B42" s="25">
        <f>SUM($C$36:$E$36)</f>
        <v/>
      </c>
    </row>
    <row r="43">
      <c r="A43" t="inlineStr">
        <is>
          <t>Terminal value at final year</t>
        </is>
      </c>
      <c r="B43" s="25">
        <f>IF(Valuation!$B$53="exit_multiple",Valuation!$B$55*E32,E31*(1+Valuation!$B$54)/($B$12-Valuation!$B$54))</f>
        <v/>
      </c>
    </row>
    <row r="44">
      <c r="A44" t="inlineStr">
        <is>
          <t>PV of terminal value at target date</t>
        </is>
      </c>
      <c r="B44" s="25">
        <f>B43/(1+$B$12)^($B$16-$B$13)</f>
        <v/>
      </c>
    </row>
    <row r="45">
      <c r="A45" t="inlineStr">
        <is>
          <t>DCF enterprise value at target date</t>
        </is>
      </c>
      <c r="B45" s="25">
        <f>B42+B44</f>
        <v/>
      </c>
    </row>
    <row r="46">
      <c r="A46" t="inlineStr">
        <is>
          <t>Terminal value share of DCF</t>
        </is>
      </c>
      <c r="B46" s="20">
        <f>B44/B45</f>
        <v/>
      </c>
    </row>
    <row r="47">
      <c r="A47" t="inlineStr">
        <is>
          <t>Free cash flow earned, balance date to target date</t>
        </is>
      </c>
      <c r="B47" s="25">
        <f>SUMPRODUCT($C$37:$E$37,$C$31:$E$31)</f>
        <v/>
      </c>
    </row>
    <row r="48">
      <c r="A48" t="inlineStr">
        <is>
          <t>Shareholder returns + other uses paid</t>
        </is>
      </c>
      <c r="B48" s="25">
        <f>SUMPRODUCT($C$37:$E$37,$C$34:$E$34)</f>
        <v/>
      </c>
    </row>
    <row r="49">
      <c r="A49" t="inlineStr">
        <is>
          <t>Interest drag on net debt</t>
        </is>
      </c>
      <c r="B49" s="25">
        <f>Valuation!$B$59*(1-$C$25)*MAX(Valuation!$B$57,0)*MAX($B$13-$B$14,0)</f>
        <v/>
      </c>
    </row>
    <row r="50">
      <c r="A50" t="inlineStr">
        <is>
          <t>Net debt at target date</t>
        </is>
      </c>
      <c r="B50" s="25">
        <f>IF(Valuation!$B$60="",Valuation!$B$57-B47+B49+B48,Valuation!$B$60)</f>
        <v/>
      </c>
    </row>
    <row r="51">
      <c r="A51" t="inlineStr">
        <is>
          <t>Minority interests</t>
        </is>
      </c>
      <c r="B51" s="25">
        <f>Valuation!$B$58</f>
        <v/>
      </c>
    </row>
    <row r="52">
      <c r="A52" t="inlineStr">
        <is>
          <t>Adjustments (probability-weighted)</t>
        </is>
      </c>
      <c r="B52" s="25">
        <f>(Valuation!B79)*Valuation!C79+(Valuation!B80)*Valuation!C80+0</f>
        <v/>
      </c>
    </row>
    <row r="53">
      <c r="A53" t="inlineStr">
        <is>
          <t>Diluted shares at target date (M)</t>
        </is>
      </c>
      <c r="B53" s="30">
        <f>IF(Valuation!$B$64="",Valuation!$B$61*(1+Valuation!$B$63)^MAX($B$13-$B$15,0),Valuation!$B$64)</f>
        <v/>
      </c>
    </row>
    <row r="54">
      <c r="A54" t="inlineStr">
        <is>
          <t>After-tax interest on target-date net debt</t>
        </is>
      </c>
      <c r="B54" s="25">
        <f>Valuation!$B$59*(1-$C$25)*MAX(B50,0)</f>
        <v/>
      </c>
    </row>
    <row r="55">
      <c r="A55" t="inlineStr">
        <is>
          <t>Check: WACC vs terminal growth</t>
        </is>
      </c>
      <c r="B55">
        <f>IF(AND(Valuation!$B$53&lt;&gt;"exit_multiple",$B$12&lt;=Valuation!$B$54+0.01),"WACC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5">
        <f>SUMPRODUCT($C$38:$E$38,$C$22:$E$22)</f>
        <v/>
      </c>
      <c r="C59" s="25">
        <f>SUMPRODUCT($C$39:$E$39,$C$22:$E$22)+$B$39*$B$22</f>
        <v/>
      </c>
    </row>
    <row r="60">
      <c r="A60" t="inlineStr">
        <is>
          <t>EBIT</t>
        </is>
      </c>
      <c r="B60" s="25">
        <f>SUMPRODUCT($C$38:$E$38,$C$24:$E$24)</f>
        <v/>
      </c>
      <c r="C60" s="25">
        <f>SUMPRODUCT($C$39:$E$39,$C$24:$E$24)</f>
        <v/>
      </c>
    </row>
    <row r="61">
      <c r="A61" t="inlineStr">
        <is>
          <t>EBITDA</t>
        </is>
      </c>
      <c r="B61" s="25">
        <f>SUMPRODUCT($C$38:$E$38,$C$32:$E$32)</f>
        <v/>
      </c>
      <c r="C61" s="25">
        <f>SUMPRODUCT($C$39:$E$39,$C$32:$E$32)</f>
        <v/>
      </c>
    </row>
    <row r="62">
      <c r="A62" t="inlineStr">
        <is>
          <t>Adj. EBITDA</t>
        </is>
      </c>
      <c r="B62" s="25">
        <f>SUMPRODUCT($C$38:$E$38,$C$33:$E$33)</f>
        <v/>
      </c>
      <c r="C62" s="25">
        <f>SUMPRODUCT($C$39:$E$39,$C$33:$E$33)</f>
        <v/>
      </c>
    </row>
    <row r="63">
      <c r="A63" t="inlineStr">
        <is>
          <t>NOPAT</t>
        </is>
      </c>
      <c r="B63" s="25">
        <f>SUMPRODUCT($C$38:$E$38,$C$26:$E$26)</f>
        <v/>
      </c>
      <c r="C63" s="25">
        <f>SUMPRODUCT($C$39:$E$39,$C$26:$E$26)</f>
        <v/>
      </c>
    </row>
    <row r="64">
      <c r="A64" t="inlineStr">
        <is>
          <t>Free cash flow to firm</t>
        </is>
      </c>
      <c r="B64" s="25">
        <f>SUMPRODUCT($C$38:$E$38,$C$31:$E$31)</f>
        <v/>
      </c>
      <c r="C64" s="25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20">
        <f>Valuation!$B$65</f>
        <v/>
      </c>
    </row>
    <row r="68">
      <c r="A68">
        <f>"Multiple: "&amp;Valuation!A71&amp;" ("&amp;Valuation!D71&amp;")"</f>
        <v/>
      </c>
      <c r="B68">
        <f>Valuation!A71</f>
        <v/>
      </c>
      <c r="C68" s="9">
        <f>IF(B68="FCF yield",(Valuation!B71)*(1-$B$8),(Valuation!B71)+IF(B68="EV/sales",0.1,1)*$B$6)</f>
        <v/>
      </c>
      <c r="D68">
        <f>Valuation!D71</f>
        <v/>
      </c>
      <c r="E68" s="25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71&lt;&gt;"",C68*(Valuation!F71)*(1+$B$9),C68*(E68-$B$54)/$B$53),IF(Valuation!G71&lt;&gt;"",(Valuation!G71)*(1+$B$9)/C68,(E68-IF(Valuation!H71,$B$54,0))/C68/$B$53))+$B$52/$B$53)</f>
        <v/>
      </c>
      <c r="G68" s="20">
        <f>Valuation!C71</f>
        <v/>
      </c>
      <c r="H68">
        <f>IF(B68="EV/sales",1,IF(B68="EV/EBIT",2,IF(B68="EV/EBITDA",IF(Valuation!E71="adjusted",4,3),IF(B68="P/E",5,6))))</f>
        <v/>
      </c>
      <c r="I68" s="50">
        <f>IF(AND(B68="P/E",Valuation!F71&lt;&gt;""),(Valuation!F71)*(1+$B$9),IF(AND(B68="FCF yield",Valuation!G71&lt;&gt;""),(Valuation!G71)*(1+$B$9),E68))</f>
        <v/>
      </c>
    </row>
    <row r="69">
      <c r="A69">
        <f>"Multiple: "&amp;Valuation!A72&amp;" ("&amp;Valuation!D72&amp;")"</f>
        <v/>
      </c>
      <c r="B69">
        <f>Valuation!A72</f>
        <v/>
      </c>
      <c r="C69" s="9">
        <f>IF(B69="FCF yield",(Valuation!B72)*(1-$B$8),(Valuation!B72)+IF(B69="EV/sales",0.1,1)*$B$6)</f>
        <v/>
      </c>
      <c r="D69">
        <f>Valuation!D72</f>
        <v/>
      </c>
      <c r="E69" s="25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72&lt;&gt;"",C69*(Valuation!F72)*(1+$B$9),C69*(E69-$B$54)/$B$53),IF(Valuation!G72&lt;&gt;"",(Valuation!G72)*(1+$B$9)/C69,(E69-IF(Valuation!H72,$B$54,0))/C69/$B$53))+$B$52/$B$53)</f>
        <v/>
      </c>
      <c r="G69" s="20">
        <f>Valuation!C72</f>
        <v/>
      </c>
      <c r="H69">
        <f>IF(B69="EV/sales",1,IF(B69="EV/EBIT",2,IF(B69="EV/EBITDA",IF(Valuation!E72="adjusted",4,3),IF(B69="P/E",5,6))))</f>
        <v/>
      </c>
      <c r="I69" s="50">
        <f>IF(AND(B69="P/E",Valuation!F72&lt;&gt;""),(Valuation!F72)*(1+$B$9),IF(AND(B69="FCF yield",Valuation!G72&lt;&gt;""),(Valuation!G72)*(1+$B$9),E69))</f>
        <v/>
      </c>
    </row>
    <row r="70">
      <c r="A70">
        <f>"Multiple: "&amp;Valuation!A73&amp;" ("&amp;Valuation!D73&amp;")"</f>
        <v/>
      </c>
      <c r="B70">
        <f>Valuation!A73</f>
        <v/>
      </c>
      <c r="C70" s="9">
        <f>IF(B70="FCF yield",(Valuation!B73)*(1-$B$8),(Valuation!B73)+IF(B70="EV/sales",0.1,1)*$B$6)</f>
        <v/>
      </c>
      <c r="D70">
        <f>Valuation!D73</f>
        <v/>
      </c>
      <c r="E70" s="25">
        <f>IF(D70="ltm",CHOOSE(H70,$C$59,$C$60,$C$61,$C$62,$C$63,$C$64),CHOOSE(H70,$B$59,$B$60,$B$61,$B$62,$B$63,$B$64))</f>
        <v/>
      </c>
      <c r="F70" s="9">
        <f>IF(OR(B70="EV/EBITDA",B70="EV/sales",B70="EV/EBIT"),((C70*E70)-$B$50-$B$51+$B$52)/$B$53,IF(B70="P/E",IF(Valuation!F73&lt;&gt;"",C70*(Valuation!F73)*(1+$B$9),C70*(E70-$B$54)/$B$53),IF(Valuation!G73&lt;&gt;"",(Valuation!G73)*(1+$B$9)/C70,(E70-IF(Valuation!H73,$B$54,0))/C70/$B$53))+$B$52/$B$53)</f>
        <v/>
      </c>
      <c r="G70" s="20">
        <f>Valuation!C73</f>
        <v/>
      </c>
      <c r="H70">
        <f>IF(B70="EV/sales",1,IF(B70="EV/EBIT",2,IF(B70="EV/EBITDA",IF(Valuation!E73="adjusted",4,3),IF(B70="P/E",5,6))))</f>
        <v/>
      </c>
      <c r="I70" s="50">
        <f>IF(AND(B70="P/E",Valuation!F73&lt;&gt;""),(Valuation!F73)*(1+$B$9),IF(AND(B70="FCF yield",Valuation!G73&lt;&gt;""),(Valuation!G73)*(1+$B$9),E70))</f>
        <v/>
      </c>
    </row>
    <row r="71">
      <c r="A71" s="21" t="inlineStr">
        <is>
          <t>Value per share at target date (weighted methods)</t>
        </is>
      </c>
      <c r="F71" s="6">
        <f>SUMPRODUCT(F67:F70,G67:G70)/SUM(G67:G70)</f>
        <v/>
      </c>
    </row>
    <row r="129">
      <c r="A129" s="21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AC Wireless and Home: revenue growth</t>
        </is>
      </c>
      <c r="C131" s="20">
        <f>Model!E12+$B$4</f>
        <v/>
      </c>
      <c r="D131" s="20">
        <f>Model!F12+$B$4</f>
        <v/>
      </c>
      <c r="E131" s="20">
        <f>Model!G12+$B$4</f>
        <v/>
      </c>
    </row>
    <row r="132">
      <c r="A132" t="inlineStr">
        <is>
          <t>AC Wireless and Home: revenue</t>
        </is>
      </c>
      <c r="B132" s="10">
        <f>Valuation!$B$91</f>
        <v/>
      </c>
      <c r="C132" s="25">
        <f>B132*(1+C131)</f>
        <v/>
      </c>
      <c r="D132" s="25">
        <f>C132*(1+D131)</f>
        <v/>
      </c>
      <c r="E132" s="25">
        <f>D132*(1+E131)</f>
        <v/>
      </c>
    </row>
    <row r="133">
      <c r="A133" t="inlineStr">
        <is>
          <t>AC Wireless and Home: EBIT margin</t>
        </is>
      </c>
      <c r="C133" s="20">
        <f>Model!E14+$B$5</f>
        <v/>
      </c>
      <c r="D133" s="20">
        <f>Model!F14+$B$5</f>
        <v/>
      </c>
      <c r="E133" s="20">
        <f>Model!G14+$B$5</f>
        <v/>
      </c>
    </row>
    <row r="134">
      <c r="A134" t="inlineStr">
        <is>
          <t>AC Wireless and Home: EBIT</t>
        </is>
      </c>
      <c r="C134" s="25">
        <f>C132*C133</f>
        <v/>
      </c>
      <c r="D134" s="25">
        <f>D132*D133</f>
        <v/>
      </c>
      <c r="E134" s="25">
        <f>E132*E133</f>
        <v/>
      </c>
    </row>
    <row r="135">
      <c r="A135" t="inlineStr">
        <is>
          <t>AC Business Wireline and Other: revenue growth</t>
        </is>
      </c>
      <c r="C135" s="20">
        <f>Model!E16+$B$4</f>
        <v/>
      </c>
      <c r="D135" s="20">
        <f>Model!F16+$B$4</f>
        <v/>
      </c>
      <c r="E135" s="20">
        <f>Model!G16+$B$4</f>
        <v/>
      </c>
    </row>
    <row r="136">
      <c r="A136" t="inlineStr">
        <is>
          <t>AC Business Wireline and Other: revenue</t>
        </is>
      </c>
      <c r="B136" s="10">
        <f>Valuation!$B$92</f>
        <v/>
      </c>
      <c r="C136" s="25">
        <f>B136*(1+C135)</f>
        <v/>
      </c>
      <c r="D136" s="25">
        <f>C136*(1+D135)</f>
        <v/>
      </c>
      <c r="E136" s="25">
        <f>D136*(1+E135)</f>
        <v/>
      </c>
    </row>
    <row r="137">
      <c r="A137" t="inlineStr">
        <is>
          <t>AC Business Wireline and Other: EBIT margin</t>
        </is>
      </c>
      <c r="C137" s="20">
        <f>Model!E18+$B$5</f>
        <v/>
      </c>
      <c r="D137" s="20">
        <f>Model!F18+$B$5</f>
        <v/>
      </c>
      <c r="E137" s="20">
        <f>Model!G18+$B$5</f>
        <v/>
      </c>
    </row>
    <row r="138">
      <c r="A138" t="inlineStr">
        <is>
          <t>AC Business Wireline and Other: EBIT</t>
        </is>
      </c>
      <c r="C138" s="25">
        <f>C136*C137</f>
        <v/>
      </c>
      <c r="D138" s="25">
        <f>D136*D137</f>
        <v/>
      </c>
      <c r="E138" s="25">
        <f>E136*E137</f>
        <v/>
      </c>
    </row>
    <row r="139">
      <c r="A139" t="inlineStr">
        <is>
          <t>Legacy: revenue growth</t>
        </is>
      </c>
      <c r="C139" s="20">
        <f>Model!E20+$B$4</f>
        <v/>
      </c>
      <c r="D139" s="20">
        <f>Model!F20+$B$4</f>
        <v/>
      </c>
      <c r="E139" s="20">
        <f>Model!G20+$B$4</f>
        <v/>
      </c>
    </row>
    <row r="140">
      <c r="A140" t="inlineStr">
        <is>
          <t>Legacy: revenue</t>
        </is>
      </c>
      <c r="B140" s="10">
        <f>Valuation!$B$93</f>
        <v/>
      </c>
      <c r="C140" s="25">
        <f>B140*(1+C139)</f>
        <v/>
      </c>
      <c r="D140" s="25">
        <f>C140*(1+D139)</f>
        <v/>
      </c>
      <c r="E140" s="25">
        <f>D140*(1+E139)</f>
        <v/>
      </c>
    </row>
    <row r="141">
      <c r="A141" t="inlineStr">
        <is>
          <t>Legacy: EBIT margin</t>
        </is>
      </c>
      <c r="C141" s="20">
        <f>Model!E22+$B$5</f>
        <v/>
      </c>
      <c r="D141" s="20">
        <f>Model!F22+$B$5</f>
        <v/>
      </c>
      <c r="E141" s="20">
        <f>Model!G22+$B$5</f>
        <v/>
      </c>
    </row>
    <row r="142">
      <c r="A142" t="inlineStr">
        <is>
          <t>Legacy: EBIT</t>
        </is>
      </c>
      <c r="C142" s="25">
        <f>C140*C141</f>
        <v/>
      </c>
      <c r="D142" s="25">
        <f>D140*D141</f>
        <v/>
      </c>
      <c r="E142" s="25">
        <f>E140*E141</f>
        <v/>
      </c>
    </row>
    <row r="143">
      <c r="A143" t="inlineStr">
        <is>
          <t>Latin America: revenue growth</t>
        </is>
      </c>
      <c r="C143" s="20">
        <f>Model!E24+$B$4</f>
        <v/>
      </c>
      <c r="D143" s="20">
        <f>Model!F24+$B$4</f>
        <v/>
      </c>
      <c r="E143" s="20">
        <f>Model!G24+$B$4</f>
        <v/>
      </c>
    </row>
    <row r="144">
      <c r="A144" t="inlineStr">
        <is>
          <t>Latin America: revenue</t>
        </is>
      </c>
      <c r="B144" s="10">
        <f>Valuation!$B$94</f>
        <v/>
      </c>
      <c r="C144" s="25">
        <f>B144*(1+C143)</f>
        <v/>
      </c>
      <c r="D144" s="25">
        <f>C144*(1+D143)</f>
        <v/>
      </c>
      <c r="E144" s="25">
        <f>D144*(1+E143)</f>
        <v/>
      </c>
    </row>
    <row r="145">
      <c r="A145" t="inlineStr">
        <is>
          <t>Latin America: EBIT margin</t>
        </is>
      </c>
      <c r="C145" s="20">
        <f>Model!E26+$B$5</f>
        <v/>
      </c>
      <c r="D145" s="20">
        <f>Model!F26+$B$5</f>
        <v/>
      </c>
      <c r="E145" s="20">
        <f>Model!G26+$B$5</f>
        <v/>
      </c>
    </row>
    <row r="146">
      <c r="A146" t="inlineStr">
        <is>
          <t>Latin America: EBIT</t>
        </is>
      </c>
      <c r="C146" s="25">
        <f>C144*C145</f>
        <v/>
      </c>
      <c r="D146" s="25">
        <f>D144*D145</f>
        <v/>
      </c>
      <c r="E146" s="25">
        <f>E144*E145</f>
        <v/>
      </c>
    </row>
    <row r="147">
      <c r="A147" t="inlineStr">
        <is>
          <t>Corporate and Other: revenue growth</t>
        </is>
      </c>
      <c r="C147" s="20">
        <f>Model!E28+$B$4</f>
        <v/>
      </c>
      <c r="D147" s="20">
        <f>Model!F28+$B$4</f>
        <v/>
      </c>
      <c r="E147" s="20">
        <f>Model!G28+$B$4</f>
        <v/>
      </c>
    </row>
    <row r="148">
      <c r="A148" t="inlineStr">
        <is>
          <t>Corporate and Other: revenue</t>
        </is>
      </c>
      <c r="B148" s="10">
        <f>Valuation!$B$95</f>
        <v/>
      </c>
      <c r="C148" s="25">
        <f>B148*(1+C147)</f>
        <v/>
      </c>
      <c r="D148" s="25">
        <f>C148*(1+D147)</f>
        <v/>
      </c>
      <c r="E148" s="25">
        <f>D148*(1+E147)</f>
        <v/>
      </c>
    </row>
    <row r="149">
      <c r="A149" t="inlineStr">
        <is>
          <t>Corporate and Other: EBIT margin</t>
        </is>
      </c>
      <c r="C149" s="20">
        <f>Model!E30+$B$5</f>
        <v/>
      </c>
      <c r="D149" s="20">
        <f>Model!F30+$B$5</f>
        <v/>
      </c>
      <c r="E149" s="20">
        <f>Model!G30+$B$5</f>
        <v/>
      </c>
    </row>
    <row r="150">
      <c r="A150" t="inlineStr">
        <is>
          <t>Corporate and Other: EBIT</t>
        </is>
      </c>
      <c r="C150" s="25">
        <f>C148*C149</f>
        <v/>
      </c>
      <c r="D150" s="25">
        <f>D148*D149</f>
        <v/>
      </c>
      <c r="E150" s="25">
        <f>E148*E149</f>
        <v/>
      </c>
    </row>
    <row r="151">
      <c r="A151" s="21" t="inlineStr">
        <is>
          <t>Total segment revenue</t>
        </is>
      </c>
      <c r="C151" s="25">
        <f>C132+C136+C140+C144+C148</f>
        <v/>
      </c>
      <c r="D151" s="25">
        <f>D132+D136+D140+D144+D148</f>
        <v/>
      </c>
      <c r="E151" s="25">
        <f>E132+E136+E140+E144+E148</f>
        <v/>
      </c>
    </row>
    <row r="152">
      <c r="A152" t="inlineStr">
        <is>
          <t>Total segment EBIT</t>
        </is>
      </c>
      <c r="C152" s="25">
        <f>C134+C138+C142+C146+C150</f>
        <v/>
      </c>
      <c r="D152" s="25">
        <f>D134+D138+D142+D146+D150</f>
        <v/>
      </c>
      <c r="E152" s="25">
        <f>E134+E138+E142+E146+E150</f>
        <v/>
      </c>
    </row>
    <row r="153">
      <c r="A153" t="inlineStr">
        <is>
          <t>Corporate / unallocated EBIT</t>
        </is>
      </c>
      <c r="C153" s="10">
        <f>Model!E33</f>
        <v/>
      </c>
      <c r="D153" s="10">
        <f>Model!F33</f>
        <v/>
      </c>
      <c r="E153" s="10">
        <f>Model!G33</f>
        <v/>
      </c>
    </row>
    <row r="154">
      <c r="A154" s="21" t="inlineStr">
        <is>
          <t>EBIT (segments + corporate)</t>
        </is>
      </c>
      <c r="C154" s="25">
        <f>C152+C153</f>
        <v/>
      </c>
      <c r="D154" s="25">
        <f>D152+D153</f>
        <v/>
      </c>
      <c r="E154" s="25">
        <f>E152+E153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3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T engine calculation: bull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N(Valuation!C88)</f>
        <v/>
      </c>
    </row>
    <row r="5">
      <c r="A5" t="inlineStr">
        <is>
          <t>Scenario Margin Δ</t>
        </is>
      </c>
      <c r="B5" s="12">
        <f>N(Valuation!D88)</f>
        <v/>
      </c>
    </row>
    <row r="6">
      <c r="A6" t="inlineStr">
        <is>
          <t>Scenario Multiple Δ (turns)</t>
        </is>
      </c>
      <c r="B6" s="51">
        <f>N(Valuation!E88)</f>
        <v/>
      </c>
    </row>
    <row r="7">
      <c r="A7" t="inlineStr">
        <is>
          <t>Scenario WACC Δ</t>
        </is>
      </c>
      <c r="B7" s="12">
        <f>N(Valuation!F88)</f>
        <v/>
      </c>
    </row>
    <row r="8">
      <c r="A8" t="inlineStr">
        <is>
          <t>Scenario Multiple %Δ</t>
        </is>
      </c>
      <c r="B8" s="12">
        <f>N(Valuation!G88)</f>
        <v/>
      </c>
    </row>
    <row r="9">
      <c r="A9" t="inlineStr">
        <is>
          <t>Scenario Stated EPS/FCF %Δ</t>
        </is>
      </c>
      <c r="B9" s="12">
        <f>N(Valuation!H88)</f>
        <v/>
      </c>
    </row>
    <row r="10">
      <c r="A10" t="inlineStr">
        <is>
          <t>Scenario Custom %Δ</t>
        </is>
      </c>
      <c r="B10" s="12">
        <f>N(Valuation!I88)</f>
        <v/>
      </c>
    </row>
    <row r="12">
      <c r="A12" t="inlineStr">
        <is>
          <t>WACC</t>
        </is>
      </c>
      <c r="B12" s="20">
        <f>Valuation!$B$52+B7</f>
        <v/>
      </c>
    </row>
    <row r="13">
      <c r="A13" t="inlineStr">
        <is>
          <t>Years from last FY end to target date</t>
        </is>
      </c>
      <c r="B13" s="49">
        <f>(Valuation!$B$46-Valuation!$B$50)/365.25</f>
        <v/>
      </c>
    </row>
    <row r="14">
      <c r="A14" t="inlineStr">
        <is>
          <t>Years from last FY end to balance date</t>
        </is>
      </c>
      <c r="B14" s="49">
        <f>(Valuation!$B$56-Valuation!$B$50)/365.25</f>
        <v/>
      </c>
    </row>
    <row r="15">
      <c r="A15" t="inlineStr">
        <is>
          <t>Years from last FY end to share count date</t>
        </is>
      </c>
      <c r="B15" s="49">
        <f>(Valuation!$B$62-Valuation!$B$50)/365.25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2">
        <f>Valuation!$B$50+ROUND(365.25*C19,0)</f>
        <v/>
      </c>
      <c r="D20" s="22">
        <f>Valuation!$B$50+ROUND(365.25*D19,0)</f>
        <v/>
      </c>
      <c r="E20" s="22">
        <f>Valuation!$B$50+ROUND(365.25*E19,0)</f>
        <v/>
      </c>
    </row>
    <row r="21">
      <c r="A21" t="inlineStr">
        <is>
          <t>Revenue growth</t>
        </is>
      </c>
      <c r="C21" s="20">
        <f>C22/B22-1</f>
        <v/>
      </c>
      <c r="D21" s="20">
        <f>D22/C22-1</f>
        <v/>
      </c>
      <c r="E21" s="20">
        <f>E22/D22-1</f>
        <v/>
      </c>
    </row>
    <row r="22">
      <c r="A22" t="inlineStr">
        <is>
          <t>Revenue</t>
        </is>
      </c>
      <c r="B22" s="25">
        <f>Valuation!$B$51</f>
        <v/>
      </c>
      <c r="C22" s="25">
        <f>C151</f>
        <v/>
      </c>
      <c r="D22" s="25">
        <f>D151</f>
        <v/>
      </c>
      <c r="E22" s="25">
        <f>E151</f>
        <v/>
      </c>
    </row>
    <row r="23">
      <c r="A23" t="inlineStr">
        <is>
          <t>EBIT margin</t>
        </is>
      </c>
      <c r="C23" s="20">
        <f>C24/C22</f>
        <v/>
      </c>
      <c r="D23" s="20">
        <f>D24/D22</f>
        <v/>
      </c>
      <c r="E23" s="20">
        <f>E24/E22</f>
        <v/>
      </c>
    </row>
    <row r="24">
      <c r="A24" t="inlineStr">
        <is>
          <t>EBIT</t>
        </is>
      </c>
      <c r="C24" s="25">
        <f>C154</f>
        <v/>
      </c>
      <c r="D24" s="25">
        <f>D154</f>
        <v/>
      </c>
      <c r="E24" s="25">
        <f>E154</f>
        <v/>
      </c>
    </row>
    <row r="25">
      <c r="A25" t="inlineStr">
        <is>
          <t>Tax rate</t>
        </is>
      </c>
      <c r="C25" s="20">
        <f>Model!E75</f>
        <v/>
      </c>
      <c r="D25" s="20">
        <f>Model!F75</f>
        <v/>
      </c>
      <c r="E25" s="20">
        <f>Model!G75</f>
        <v/>
      </c>
    </row>
    <row r="26">
      <c r="A26" t="inlineStr">
        <is>
          <t>NOPAT</t>
        </is>
      </c>
      <c r="C26" s="25">
        <f>C24*(1-C25)</f>
        <v/>
      </c>
      <c r="D26" s="25">
        <f>D24*(1-D25)</f>
        <v/>
      </c>
      <c r="E26" s="25">
        <f>E24*(1-E25)</f>
        <v/>
      </c>
    </row>
    <row r="27">
      <c r="A27" t="inlineStr">
        <is>
          <t>D&amp;A</t>
        </is>
      </c>
      <c r="C27" s="25">
        <f>C22*(Model!E76)</f>
        <v/>
      </c>
      <c r="D27" s="25">
        <f>D22*(Model!F76)</f>
        <v/>
      </c>
      <c r="E27" s="25">
        <f>E22*(Model!G76)</f>
        <v/>
      </c>
    </row>
    <row r="28">
      <c r="A28" t="inlineStr">
        <is>
          <t>Capex</t>
        </is>
      </c>
      <c r="C28" s="25">
        <f>C22*(Model!E77+$B$250)</f>
        <v/>
      </c>
      <c r="D28" s="25">
        <f>D22*(Model!F77+$B$251)</f>
        <v/>
      </c>
      <c r="E28" s="25">
        <f>E22*(Model!G77+$B$252)</f>
        <v/>
      </c>
    </row>
    <row r="29">
      <c r="A29" t="inlineStr">
        <is>
          <t>Working capital increase</t>
        </is>
      </c>
      <c r="C29" s="25">
        <f>(Model!E78)*(C22-B22)</f>
        <v/>
      </c>
      <c r="D29" s="25">
        <f>(Model!F78)*(D22-C22)</f>
        <v/>
      </c>
      <c r="E29" s="25">
        <f>(Model!G78)*(E22-D22)</f>
        <v/>
      </c>
    </row>
    <row r="30">
      <c r="A30" t="inlineStr">
        <is>
          <t>Stock comp</t>
        </is>
      </c>
      <c r="C30" s="25">
        <f>C22*(Model!E79)</f>
        <v/>
      </c>
      <c r="D30" s="25">
        <f>D22*(Model!F79)</f>
        <v/>
      </c>
      <c r="E30" s="25">
        <f>E22*(Model!G79)</f>
        <v/>
      </c>
    </row>
    <row r="31">
      <c r="A31" t="inlineStr">
        <is>
          <t>Free cash flow to firm</t>
        </is>
      </c>
      <c r="C31" s="25">
        <f>C26+C27-C28-C29-IF(AND(Valuation!$B$48="adjusted",Valuation!$B$49="cost"),C30*(1-C25),0)</f>
        <v/>
      </c>
      <c r="D31" s="25">
        <f>D26+D27-D28-D29-IF(AND(Valuation!$B$48="adjusted",Valuation!$B$49="cost"),D30*(1-D25),0)</f>
        <v/>
      </c>
      <c r="E31" s="25">
        <f>E26+E27-E28-E29-IF(AND(Valuation!$B$48="adjusted",Valuation!$B$49="cost"),E30*(1-E25),0)</f>
        <v/>
      </c>
    </row>
    <row r="32">
      <c r="A32" t="inlineStr">
        <is>
          <t>EBITDA</t>
        </is>
      </c>
      <c r="C32" s="25">
        <f>C24+C27</f>
        <v/>
      </c>
      <c r="D32" s="25">
        <f>D24+D27</f>
        <v/>
      </c>
      <c r="E32" s="25">
        <f>E24+E27</f>
        <v/>
      </c>
    </row>
    <row r="33">
      <c r="A33" t="inlineStr">
        <is>
          <t>Adj. EBITDA</t>
        </is>
      </c>
      <c r="C33" s="25">
        <f>C24+C27+C22*(Model!E83)</f>
        <v/>
      </c>
      <c r="D33" s="25">
        <f>D24+D27+D22*(Model!F83)</f>
        <v/>
      </c>
      <c r="E33" s="25">
        <f>E24+E27+E22*(Model!G83)</f>
        <v/>
      </c>
    </row>
    <row r="34">
      <c r="A34" t="inlineStr">
        <is>
          <t>Shareholder returns + other uses</t>
        </is>
      </c>
      <c r="C34" s="25">
        <f>C22*Model!E81+Model!E80+Model!E82</f>
        <v/>
      </c>
      <c r="D34" s="25">
        <f>D22*Model!F81+Model!F80+Model!F82</f>
        <v/>
      </c>
      <c r="E34" s="25">
        <f>E22*Model!G81+Model!G80+Model!G82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5">
        <f>IF(C35=0,0,C31*C35/(1+$B$12)^(C19-$B$13))</f>
        <v/>
      </c>
      <c r="D36" s="25">
        <f>IF(D35=0,0,D31*D35/(1+$B$12)^(D19-$B$13))</f>
        <v/>
      </c>
      <c r="E36" s="25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21" t="inlineStr">
        <is>
          <t>Value at the target date</t>
        </is>
      </c>
    </row>
    <row r="42">
      <c r="A42" t="inlineStr">
        <is>
          <t>PV of free cash flow after the target date</t>
        </is>
      </c>
      <c r="B42" s="25">
        <f>SUM($C$36:$E$36)</f>
        <v/>
      </c>
    </row>
    <row r="43">
      <c r="A43" t="inlineStr">
        <is>
          <t>Terminal value at final year</t>
        </is>
      </c>
      <c r="B43" s="25">
        <f>IF(Valuation!$B$53="exit_multiple",Valuation!$B$55*E32,E31*(1+Valuation!$B$54)/($B$12-Valuation!$B$54))</f>
        <v/>
      </c>
    </row>
    <row r="44">
      <c r="A44" t="inlineStr">
        <is>
          <t>PV of terminal value at target date</t>
        </is>
      </c>
      <c r="B44" s="25">
        <f>B43/(1+$B$12)^($B$16-$B$13)</f>
        <v/>
      </c>
    </row>
    <row r="45">
      <c r="A45" t="inlineStr">
        <is>
          <t>DCF enterprise value at target date</t>
        </is>
      </c>
      <c r="B45" s="25">
        <f>B42+B44</f>
        <v/>
      </c>
    </row>
    <row r="46">
      <c r="A46" t="inlineStr">
        <is>
          <t>Terminal value share of DCF</t>
        </is>
      </c>
      <c r="B46" s="20">
        <f>B44/B45</f>
        <v/>
      </c>
    </row>
    <row r="47">
      <c r="A47" t="inlineStr">
        <is>
          <t>Free cash flow earned, balance date to target date</t>
        </is>
      </c>
      <c r="B47" s="25">
        <f>SUMPRODUCT($C$37:$E$37,$C$31:$E$31)</f>
        <v/>
      </c>
    </row>
    <row r="48">
      <c r="A48" t="inlineStr">
        <is>
          <t>Shareholder returns + other uses paid</t>
        </is>
      </c>
      <c r="B48" s="25">
        <f>SUMPRODUCT($C$37:$E$37,$C$34:$E$34)</f>
        <v/>
      </c>
    </row>
    <row r="49">
      <c r="A49" t="inlineStr">
        <is>
          <t>Interest drag on net debt</t>
        </is>
      </c>
      <c r="B49" s="25">
        <f>Valuation!$B$59*(1-$C$25)*MAX(Valuation!$B$57,0)*MAX($B$13-$B$14,0)</f>
        <v/>
      </c>
    </row>
    <row r="50">
      <c r="A50" t="inlineStr">
        <is>
          <t>Net debt at target date</t>
        </is>
      </c>
      <c r="B50" s="25">
        <f>IF(Valuation!$B$60="",Valuation!$B$57-B47+B49+B48,Valuation!$B$60)</f>
        <v/>
      </c>
    </row>
    <row r="51">
      <c r="A51" t="inlineStr">
        <is>
          <t>Minority interests</t>
        </is>
      </c>
      <c r="B51" s="25">
        <f>Valuation!$B$58</f>
        <v/>
      </c>
    </row>
    <row r="52">
      <c r="A52" t="inlineStr">
        <is>
          <t>Adjustments (probability-weighted)</t>
        </is>
      </c>
      <c r="B52" s="25">
        <f>(Valuation!B79)*Valuation!C79+(Valuation!B80)*Valuation!C80+0</f>
        <v/>
      </c>
    </row>
    <row r="53">
      <c r="A53" t="inlineStr">
        <is>
          <t>Diluted shares at target date (M)</t>
        </is>
      </c>
      <c r="B53" s="30">
        <f>IF(Valuation!$B$64="",Valuation!$B$61*(1+Valuation!$B$63)^MAX($B$13-$B$15,0),Valuation!$B$64)</f>
        <v/>
      </c>
    </row>
    <row r="54">
      <c r="A54" t="inlineStr">
        <is>
          <t>After-tax interest on target-date net debt</t>
        </is>
      </c>
      <c r="B54" s="25">
        <f>Valuation!$B$59*(1-$C$25)*MAX(B50,0)</f>
        <v/>
      </c>
    </row>
    <row r="55">
      <c r="A55" t="inlineStr">
        <is>
          <t>Check: WACC vs terminal growth</t>
        </is>
      </c>
      <c r="B55">
        <f>IF(AND(Valuation!$B$53&lt;&gt;"exit_multiple",$B$12&lt;=Valuation!$B$54+0.01),"WACC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5">
        <f>SUMPRODUCT($C$38:$E$38,$C$22:$E$22)</f>
        <v/>
      </c>
      <c r="C59" s="25">
        <f>SUMPRODUCT($C$39:$E$39,$C$22:$E$22)+$B$39*$B$22</f>
        <v/>
      </c>
    </row>
    <row r="60">
      <c r="A60" t="inlineStr">
        <is>
          <t>EBIT</t>
        </is>
      </c>
      <c r="B60" s="25">
        <f>SUMPRODUCT($C$38:$E$38,$C$24:$E$24)</f>
        <v/>
      </c>
      <c r="C60" s="25">
        <f>SUMPRODUCT($C$39:$E$39,$C$24:$E$24)</f>
        <v/>
      </c>
    </row>
    <row r="61">
      <c r="A61" t="inlineStr">
        <is>
          <t>EBITDA</t>
        </is>
      </c>
      <c r="B61" s="25">
        <f>SUMPRODUCT($C$38:$E$38,$C$32:$E$32)</f>
        <v/>
      </c>
      <c r="C61" s="25">
        <f>SUMPRODUCT($C$39:$E$39,$C$32:$E$32)</f>
        <v/>
      </c>
    </row>
    <row r="62">
      <c r="A62" t="inlineStr">
        <is>
          <t>Adj. EBITDA</t>
        </is>
      </c>
      <c r="B62" s="25">
        <f>SUMPRODUCT($C$38:$E$38,$C$33:$E$33)</f>
        <v/>
      </c>
      <c r="C62" s="25">
        <f>SUMPRODUCT($C$39:$E$39,$C$33:$E$33)</f>
        <v/>
      </c>
    </row>
    <row r="63">
      <c r="A63" t="inlineStr">
        <is>
          <t>NOPAT</t>
        </is>
      </c>
      <c r="B63" s="25">
        <f>SUMPRODUCT($C$38:$E$38,$C$26:$E$26)</f>
        <v/>
      </c>
      <c r="C63" s="25">
        <f>SUMPRODUCT($C$39:$E$39,$C$26:$E$26)</f>
        <v/>
      </c>
    </row>
    <row r="64">
      <c r="A64" t="inlineStr">
        <is>
          <t>Free cash flow to firm</t>
        </is>
      </c>
      <c r="B64" s="25">
        <f>SUMPRODUCT($C$38:$E$38,$C$31:$E$31)</f>
        <v/>
      </c>
      <c r="C64" s="25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20">
        <f>Valuation!$B$65</f>
        <v/>
      </c>
    </row>
    <row r="68">
      <c r="A68">
        <f>"Multiple: "&amp;Valuation!A71&amp;" ("&amp;Valuation!D71&amp;")"</f>
        <v/>
      </c>
      <c r="B68">
        <f>Valuation!A71</f>
        <v/>
      </c>
      <c r="C68" s="9">
        <f>IF(B68="FCF yield",(Valuation!B71)*(1-$B$8),(Valuation!B71)+IF(B68="EV/sales",0.1,1)*$B$6)</f>
        <v/>
      </c>
      <c r="D68">
        <f>Valuation!D71</f>
        <v/>
      </c>
      <c r="E68" s="25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71&lt;&gt;"",C68*(Valuation!F71)*(1+$B$9),C68*(E68-$B$54)/$B$53),IF(Valuation!G71&lt;&gt;"",(Valuation!G71)*(1+$B$9)/C68,(E68-IF(Valuation!H71,$B$54,0))/C68/$B$53))+$B$52/$B$53)</f>
        <v/>
      </c>
      <c r="G68" s="20">
        <f>Valuation!C71</f>
        <v/>
      </c>
      <c r="H68">
        <f>IF(B68="EV/sales",1,IF(B68="EV/EBIT",2,IF(B68="EV/EBITDA",IF(Valuation!E71="adjusted",4,3),IF(B68="P/E",5,6))))</f>
        <v/>
      </c>
      <c r="I68" s="50">
        <f>IF(AND(B68="P/E",Valuation!F71&lt;&gt;""),(Valuation!F71)*(1+$B$9),IF(AND(B68="FCF yield",Valuation!G71&lt;&gt;""),(Valuation!G71)*(1+$B$9),E68))</f>
        <v/>
      </c>
    </row>
    <row r="69">
      <c r="A69">
        <f>"Multiple: "&amp;Valuation!A72&amp;" ("&amp;Valuation!D72&amp;")"</f>
        <v/>
      </c>
      <c r="B69">
        <f>Valuation!A72</f>
        <v/>
      </c>
      <c r="C69" s="9">
        <f>IF(B69="FCF yield",(Valuation!B72)*(1-$B$8),(Valuation!B72)+IF(B69="EV/sales",0.1,1)*$B$6)</f>
        <v/>
      </c>
      <c r="D69">
        <f>Valuation!D72</f>
        <v/>
      </c>
      <c r="E69" s="25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72&lt;&gt;"",C69*(Valuation!F72+$B$262)*(1+$B$9),C69*(E69-$B$54)/$B$53),IF(Valuation!G72&lt;&gt;"",(Valuation!G72)*(1+$B$9)/C69,(E69-IF(Valuation!H72,$B$54,0))/C69/$B$53))+$B$52/$B$53)</f>
        <v/>
      </c>
      <c r="G69" s="20">
        <f>Valuation!C72</f>
        <v/>
      </c>
      <c r="H69">
        <f>IF(B69="EV/sales",1,IF(B69="EV/EBIT",2,IF(B69="EV/EBITDA",IF(Valuation!E72="adjusted",4,3),IF(B69="P/E",5,6))))</f>
        <v/>
      </c>
      <c r="I69" s="50">
        <f>IF(AND(B69="P/E",Valuation!F72&lt;&gt;""),(Valuation!F72+$B$262)*(1+$B$9),IF(AND(B69="FCF yield",Valuation!G72&lt;&gt;""),(Valuation!G72)*(1+$B$9),E69))</f>
        <v/>
      </c>
    </row>
    <row r="70">
      <c r="A70">
        <f>"Multiple: "&amp;Valuation!A73&amp;" ("&amp;Valuation!D73&amp;")"</f>
        <v/>
      </c>
      <c r="B70">
        <f>Valuation!A73</f>
        <v/>
      </c>
      <c r="C70" s="9">
        <f>IF(B70="FCF yield",(Valuation!B73)*(1-$B$8),(Valuation!B73)+IF(B70="EV/sales",0.1,1)*$B$6)</f>
        <v/>
      </c>
      <c r="D70">
        <f>Valuation!D73</f>
        <v/>
      </c>
      <c r="E70" s="25">
        <f>IF(D70="ltm",CHOOSE(H70,$C$59,$C$60,$C$61,$C$62,$C$63,$C$64),CHOOSE(H70,$B$59,$B$60,$B$61,$B$62,$B$63,$B$64))</f>
        <v/>
      </c>
      <c r="F70" s="9">
        <f>IF(OR(B70="EV/EBITDA",B70="EV/sales",B70="EV/EBIT"),((C70*E70)-$B$50-$B$51+$B$52)/$B$53,IF(B70="P/E",IF(Valuation!F73&lt;&gt;"",C70*(Valuation!F73)*(1+$B$9),C70*(E70-$B$54)/$B$53),IF(Valuation!G73&lt;&gt;"",(Valuation!G73+$B$263)*(1+$B$9)/C70,(E70-IF(Valuation!H73,$B$54,0))/C70/$B$53))+$B$52/$B$53)</f>
        <v/>
      </c>
      <c r="G70" s="20">
        <f>Valuation!C73</f>
        <v/>
      </c>
      <c r="H70">
        <f>IF(B70="EV/sales",1,IF(B70="EV/EBIT",2,IF(B70="EV/EBITDA",IF(Valuation!E73="adjusted",4,3),IF(B70="P/E",5,6))))</f>
        <v/>
      </c>
      <c r="I70" s="50">
        <f>IF(AND(B70="P/E",Valuation!F73&lt;&gt;""),(Valuation!F73)*(1+$B$9),IF(AND(B70="FCF yield",Valuation!G73&lt;&gt;""),(Valuation!G73+$B$263)*(1+$B$9),E70))</f>
        <v/>
      </c>
    </row>
    <row r="71">
      <c r="A71" s="21" t="inlineStr">
        <is>
          <t>Value per share at target date (weighted methods)</t>
        </is>
      </c>
      <c r="F71" s="6">
        <f>SUMPRODUCT(F67:F70,G67:G70)/SUM(G67:G70)</f>
        <v/>
      </c>
    </row>
    <row r="129">
      <c r="A129" s="21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AC Wireless and Home: revenue growth</t>
        </is>
      </c>
      <c r="C131" s="20">
        <f>Model!E12+$B$4+$B$253</f>
        <v/>
      </c>
      <c r="D131" s="20">
        <f>Model!F12+$B$4+$B$255</f>
        <v/>
      </c>
      <c r="E131" s="20">
        <f>Model!G12+$B$4+$B$257</f>
        <v/>
      </c>
    </row>
    <row r="132">
      <c r="A132" t="inlineStr">
        <is>
          <t>AC Wireless and Home: revenue</t>
        </is>
      </c>
      <c r="B132" s="10">
        <f>Valuation!$B$91</f>
        <v/>
      </c>
      <c r="C132" s="25">
        <f>B132*(1+C131)</f>
        <v/>
      </c>
      <c r="D132" s="25">
        <f>C132*(1+D131)</f>
        <v/>
      </c>
      <c r="E132" s="25">
        <f>D132*(1+E131)</f>
        <v/>
      </c>
    </row>
    <row r="133">
      <c r="A133" t="inlineStr">
        <is>
          <t>AC Wireless and Home: EBIT margin</t>
        </is>
      </c>
      <c r="C133" s="20">
        <f>Model!E14+$B$5+$B$254</f>
        <v/>
      </c>
      <c r="D133" s="20">
        <f>Model!F14+$B$5+$B$256</f>
        <v/>
      </c>
      <c r="E133" s="20">
        <f>Model!G14+$B$5+$B$258</f>
        <v/>
      </c>
    </row>
    <row r="134">
      <c r="A134" t="inlineStr">
        <is>
          <t>AC Wireless and Home: EBIT</t>
        </is>
      </c>
      <c r="C134" s="25">
        <f>C132*C133</f>
        <v/>
      </c>
      <c r="D134" s="25">
        <f>D132*D133</f>
        <v/>
      </c>
      <c r="E134" s="25">
        <f>E132*E133</f>
        <v/>
      </c>
    </row>
    <row r="135">
      <c r="A135" t="inlineStr">
        <is>
          <t>AC Business Wireline and Other: revenue growth</t>
        </is>
      </c>
      <c r="C135" s="20">
        <f>Model!E16+$B$4</f>
        <v/>
      </c>
      <c r="D135" s="20">
        <f>Model!F16+$B$4</f>
        <v/>
      </c>
      <c r="E135" s="20">
        <f>Model!G16+$B$4</f>
        <v/>
      </c>
    </row>
    <row r="136">
      <c r="A136" t="inlineStr">
        <is>
          <t>AC Business Wireline and Other: revenue</t>
        </is>
      </c>
      <c r="B136" s="10">
        <f>Valuation!$B$92</f>
        <v/>
      </c>
      <c r="C136" s="25">
        <f>B136*(1+C135)</f>
        <v/>
      </c>
      <c r="D136" s="25">
        <f>C136*(1+D135)</f>
        <v/>
      </c>
      <c r="E136" s="25">
        <f>D136*(1+E135)</f>
        <v/>
      </c>
    </row>
    <row r="137">
      <c r="A137" t="inlineStr">
        <is>
          <t>AC Business Wireline and Other: EBIT margin</t>
        </is>
      </c>
      <c r="C137" s="20">
        <f>Model!E18+$B$5+$B$259</f>
        <v/>
      </c>
      <c r="D137" s="20">
        <f>Model!F18+$B$5+$B$260</f>
        <v/>
      </c>
      <c r="E137" s="20">
        <f>Model!G18+$B$5+$B$261</f>
        <v/>
      </c>
    </row>
    <row r="138">
      <c r="A138" t="inlineStr">
        <is>
          <t>AC Business Wireline and Other: EBIT</t>
        </is>
      </c>
      <c r="C138" s="25">
        <f>C136*C137</f>
        <v/>
      </c>
      <c r="D138" s="25">
        <f>D136*D137</f>
        <v/>
      </c>
      <c r="E138" s="25">
        <f>E136*E137</f>
        <v/>
      </c>
    </row>
    <row r="139">
      <c r="A139" t="inlineStr">
        <is>
          <t>Legacy: revenue growth</t>
        </is>
      </c>
      <c r="C139" s="20">
        <f>Model!E20+$B$4</f>
        <v/>
      </c>
      <c r="D139" s="20">
        <f>Model!F20+$B$4</f>
        <v/>
      </c>
      <c r="E139" s="20">
        <f>Model!G20+$B$4</f>
        <v/>
      </c>
    </row>
    <row r="140">
      <c r="A140" t="inlineStr">
        <is>
          <t>Legacy: revenue</t>
        </is>
      </c>
      <c r="B140" s="10">
        <f>Valuation!$B$93</f>
        <v/>
      </c>
      <c r="C140" s="25">
        <f>B140*(1+C139)</f>
        <v/>
      </c>
      <c r="D140" s="25">
        <f>C140*(1+D139)</f>
        <v/>
      </c>
      <c r="E140" s="25">
        <f>D140*(1+E139)</f>
        <v/>
      </c>
    </row>
    <row r="141">
      <c r="A141" t="inlineStr">
        <is>
          <t>Legacy: EBIT margin</t>
        </is>
      </c>
      <c r="C141" s="20">
        <f>Model!E22+$B$5</f>
        <v/>
      </c>
      <c r="D141" s="20">
        <f>Model!F22+$B$5</f>
        <v/>
      </c>
      <c r="E141" s="20">
        <f>Model!G22+$B$5</f>
        <v/>
      </c>
    </row>
    <row r="142">
      <c r="A142" t="inlineStr">
        <is>
          <t>Legacy: EBIT</t>
        </is>
      </c>
      <c r="C142" s="25">
        <f>C140*C141</f>
        <v/>
      </c>
      <c r="D142" s="25">
        <f>D140*D141</f>
        <v/>
      </c>
      <c r="E142" s="25">
        <f>E140*E141</f>
        <v/>
      </c>
    </row>
    <row r="143">
      <c r="A143" t="inlineStr">
        <is>
          <t>Latin America: revenue growth</t>
        </is>
      </c>
      <c r="C143" s="20">
        <f>Model!E24+$B$4</f>
        <v/>
      </c>
      <c r="D143" s="20">
        <f>Model!F24+$B$4</f>
        <v/>
      </c>
      <c r="E143" s="20">
        <f>Model!G24+$B$4</f>
        <v/>
      </c>
    </row>
    <row r="144">
      <c r="A144" t="inlineStr">
        <is>
          <t>Latin America: revenue</t>
        </is>
      </c>
      <c r="B144" s="10">
        <f>Valuation!$B$94</f>
        <v/>
      </c>
      <c r="C144" s="25">
        <f>B144*(1+C143)</f>
        <v/>
      </c>
      <c r="D144" s="25">
        <f>C144*(1+D143)</f>
        <v/>
      </c>
      <c r="E144" s="25">
        <f>D144*(1+E143)</f>
        <v/>
      </c>
    </row>
    <row r="145">
      <c r="A145" t="inlineStr">
        <is>
          <t>Latin America: EBIT margin</t>
        </is>
      </c>
      <c r="C145" s="20">
        <f>Model!E26+$B$5</f>
        <v/>
      </c>
      <c r="D145" s="20">
        <f>Model!F26+$B$5</f>
        <v/>
      </c>
      <c r="E145" s="20">
        <f>Model!G26+$B$5</f>
        <v/>
      </c>
    </row>
    <row r="146">
      <c r="A146" t="inlineStr">
        <is>
          <t>Latin America: EBIT</t>
        </is>
      </c>
      <c r="C146" s="25">
        <f>C144*C145</f>
        <v/>
      </c>
      <c r="D146" s="25">
        <f>D144*D145</f>
        <v/>
      </c>
      <c r="E146" s="25">
        <f>E144*E145</f>
        <v/>
      </c>
    </row>
    <row r="147">
      <c r="A147" t="inlineStr">
        <is>
          <t>Corporate and Other: revenue growth</t>
        </is>
      </c>
      <c r="C147" s="20">
        <f>Model!E28+$B$4</f>
        <v/>
      </c>
      <c r="D147" s="20">
        <f>Model!F28+$B$4</f>
        <v/>
      </c>
      <c r="E147" s="20">
        <f>Model!G28+$B$4</f>
        <v/>
      </c>
    </row>
    <row r="148">
      <c r="A148" t="inlineStr">
        <is>
          <t>Corporate and Other: revenue</t>
        </is>
      </c>
      <c r="B148" s="10">
        <f>Valuation!$B$95</f>
        <v/>
      </c>
      <c r="C148" s="25">
        <f>B148*(1+C147)</f>
        <v/>
      </c>
      <c r="D148" s="25">
        <f>C148*(1+D147)</f>
        <v/>
      </c>
      <c r="E148" s="25">
        <f>D148*(1+E147)</f>
        <v/>
      </c>
    </row>
    <row r="149">
      <c r="A149" t="inlineStr">
        <is>
          <t>Corporate and Other: EBIT margin</t>
        </is>
      </c>
      <c r="C149" s="20">
        <f>Model!E30+$B$5</f>
        <v/>
      </c>
      <c r="D149" s="20">
        <f>Model!F30+$B$5</f>
        <v/>
      </c>
      <c r="E149" s="20">
        <f>Model!G30+$B$5</f>
        <v/>
      </c>
    </row>
    <row r="150">
      <c r="A150" t="inlineStr">
        <is>
          <t>Corporate and Other: EBIT</t>
        </is>
      </c>
      <c r="C150" s="25">
        <f>C148*C149</f>
        <v/>
      </c>
      <c r="D150" s="25">
        <f>D148*D149</f>
        <v/>
      </c>
      <c r="E150" s="25">
        <f>E148*E149</f>
        <v/>
      </c>
    </row>
    <row r="151">
      <c r="A151" s="21" t="inlineStr">
        <is>
          <t>Total segment revenue</t>
        </is>
      </c>
      <c r="C151" s="25">
        <f>C132+C136+C140+C144+C148</f>
        <v/>
      </c>
      <c r="D151" s="25">
        <f>D132+D136+D140+D144+D148</f>
        <v/>
      </c>
      <c r="E151" s="25">
        <f>E132+E136+E140+E144+E148</f>
        <v/>
      </c>
    </row>
    <row r="152">
      <c r="A152" t="inlineStr">
        <is>
          <t>Total segment EBIT</t>
        </is>
      </c>
      <c r="C152" s="25">
        <f>C134+C138+C142+C146+C150</f>
        <v/>
      </c>
      <c r="D152" s="25">
        <f>D134+D138+D142+D146+D150</f>
        <v/>
      </c>
      <c r="E152" s="25">
        <f>E134+E138+E142+E146+E150</f>
        <v/>
      </c>
    </row>
    <row r="153">
      <c r="A153" t="inlineStr">
        <is>
          <t>Corporate / unallocated EBIT</t>
        </is>
      </c>
      <c r="C153" s="10">
        <f>Model!E33</f>
        <v/>
      </c>
      <c r="D153" s="10">
        <f>Model!F33</f>
        <v/>
      </c>
      <c r="E153" s="10">
        <f>Model!G33</f>
        <v/>
      </c>
    </row>
    <row r="154">
      <c r="A154" s="21" t="inlineStr">
        <is>
          <t>EBIT (segments + corporate)</t>
        </is>
      </c>
      <c r="C154" s="25">
        <f>C152+C153</f>
        <v/>
      </c>
      <c r="D154" s="25">
        <f>D152+D153</f>
        <v/>
      </c>
      <c r="E154" s="25">
        <f>E152+E153</f>
        <v/>
      </c>
    </row>
    <row r="249">
      <c r="A249" s="21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Capex % revenue, year 1</t>
        </is>
      </c>
      <c r="B250" s="52" t="n">
        <v>-0.002427936802938124</v>
      </c>
    </row>
    <row r="251">
      <c r="A251" t="inlineStr">
        <is>
          <t>Capex % revenue, year 2</t>
        </is>
      </c>
      <c r="B251" s="52" t="n">
        <v>-0.002535326912193381</v>
      </c>
    </row>
    <row r="252">
      <c r="A252" t="inlineStr">
        <is>
          <t>Capex % revenue, year 3</t>
        </is>
      </c>
      <c r="B252" s="52" t="n">
        <v>-0.002563732840371868</v>
      </c>
    </row>
    <row r="253">
      <c r="A253" t="inlineStr">
        <is>
          <t>AC Wireless and Home: revenue growth, year 1</t>
        </is>
      </c>
      <c r="B253" s="52" t="n">
        <v>0.01761504832873806</v>
      </c>
    </row>
    <row r="254">
      <c r="A254" t="inlineStr">
        <is>
          <t>AC Wireless and Home: EBIT margin, year 1</t>
        </is>
      </c>
      <c r="B254" s="52" t="n">
        <v>0.007999999999999979</v>
      </c>
    </row>
    <row r="255">
      <c r="A255" t="inlineStr">
        <is>
          <t>AC Wireless and Home: revenue growth, year 2</t>
        </is>
      </c>
      <c r="B255" s="52" t="n">
        <v>8.126227550020459e-05</v>
      </c>
    </row>
    <row r="256">
      <c r="A256" t="inlineStr">
        <is>
          <t>AC Wireless and Home: EBIT margin, year 2</t>
        </is>
      </c>
      <c r="B256" s="52" t="n">
        <v>0.008000000000000007</v>
      </c>
    </row>
    <row r="257">
      <c r="A257" t="inlineStr">
        <is>
          <t>AC Wireless and Home: revenue growth, year 3</t>
        </is>
      </c>
      <c r="B257" s="52" t="n">
        <v>6.741996949988227e-05</v>
      </c>
    </row>
    <row r="258">
      <c r="A258" t="inlineStr">
        <is>
          <t>AC Wireless and Home: EBIT margin, year 3</t>
        </is>
      </c>
      <c r="B258" s="52" t="n">
        <v>0.008000000000000007</v>
      </c>
    </row>
    <row r="259">
      <c r="A259" t="inlineStr">
        <is>
          <t>AC Business Wireline and Other: EBIT margin, year 1</t>
        </is>
      </c>
      <c r="B259" s="52" t="n">
        <v>0.007999999999999979</v>
      </c>
    </row>
    <row r="260">
      <c r="A260" t="inlineStr">
        <is>
          <t>AC Business Wireline and Other: EBIT margin, year 2</t>
        </is>
      </c>
      <c r="B260" s="52" t="n">
        <v>0.008000000000000007</v>
      </c>
    </row>
    <row r="261">
      <c r="A261" t="inlineStr">
        <is>
          <t>AC Business Wireline and Other: EBIT margin, year 3</t>
        </is>
      </c>
      <c r="B261" s="52" t="n">
        <v>0.008000000000000007</v>
      </c>
    </row>
    <row r="262">
      <c r="A262" t="inlineStr">
        <is>
          <t>Stated EPS, multiple 2</t>
        </is>
      </c>
      <c r="B262" s="52" t="n">
        <v>0.1901856999593377</v>
      </c>
    </row>
    <row r="263">
      <c r="A263" t="inlineStr">
        <is>
          <t>Stated FCF/share, multiple 3</t>
        </is>
      </c>
      <c r="B263" s="52" t="n">
        <v>0.2831479208798884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12" max="12"/>
    <col width="70" customWidth="1" min="13" max="13"/>
  </cols>
  <sheetData>
    <row r="1">
      <c r="A1" s="1" t="inlineStr">
        <is>
          <t>T: each forecaster's own assumption set through the same engine (from model_engine.json, not live)</t>
        </is>
      </c>
    </row>
    <row r="3">
      <c r="A3" s="3" t="inlineStr">
        <is>
          <t>Set</t>
        </is>
      </c>
      <c r="B3" s="3" t="inlineStr">
        <is>
          <t>Research target (12m)</t>
        </is>
      </c>
      <c r="C3" s="3" t="inlineStr">
        <is>
          <t>Median</t>
        </is>
      </c>
      <c r="D3" s="3" t="inlineStr">
        <is>
          <t>25th pct</t>
        </is>
      </c>
      <c r="E3" s="3" t="inlineStr">
        <is>
          <t>75th pct</t>
        </is>
      </c>
      <c r="F3" s="3" t="inlineStr">
        <is>
          <t>WACC</t>
        </is>
      </c>
      <c r="G3" s="3" t="inlineStr">
        <is>
          <t>Y1 growth</t>
        </is>
      </c>
      <c r="H3" s="3" t="inlineStr">
        <is>
          <t>Y1 margin</t>
        </is>
      </c>
      <c r="I3" s="3" t="inlineStr">
        <is>
          <t>Terminal growth</t>
        </is>
      </c>
      <c r="J3" s="3" t="inlineStr">
        <is>
          <t>DCF weight</t>
        </is>
      </c>
      <c r="K3" s="3" t="inlineStr">
        <is>
          <t>Years</t>
        </is>
      </c>
      <c r="L3" s="3" t="inlineStr">
        <is>
          <t>Multiples</t>
        </is>
      </c>
      <c r="M3" s="3" t="inlineStr">
        <is>
          <t>Supervisor's note</t>
        </is>
      </c>
    </row>
    <row r="4">
      <c r="A4" t="inlineStr">
        <is>
          <t>agent 1</t>
        </is>
      </c>
      <c r="B4" s="9" t="n">
        <v>24.3873232810415</v>
      </c>
      <c r="C4" s="9" t="n">
        <v>24.04669859580066</v>
      </c>
      <c r="D4" s="9" t="n">
        <v>18.97315017256659</v>
      </c>
      <c r="E4" s="9" t="n">
        <v>28.08273884894074</v>
      </c>
      <c r="F4" s="20" t="n"/>
      <c r="G4" s="20" t="n"/>
      <c r="H4" s="20" t="n"/>
      <c r="I4" s="20" t="n"/>
      <c r="J4" s="20" t="n">
        <v>0</v>
      </c>
      <c r="K4" t="n">
        <v>3</v>
      </c>
      <c r="L4" t="inlineStr">
        <is>
          <t>EV/EBITDA 6.2 (ntm); P/E 8.1 (ntm); FCF yield 0.123 (ntm)</t>
        </is>
      </c>
      <c r="M4" s="44" t="inlineStr">
        <is>
          <t>Highest value: 6.2x EV/EBITDA (above the decided 6.1x, +$0.40) and consolidated 2028 EBITDA +4.75% (AC +6.0% with a milder Legacy swing); otherwise a clean, fully linked build.</t>
        </is>
      </c>
    </row>
    <row r="5">
      <c r="A5" t="inlineStr">
        <is>
          <t>agent 2</t>
        </is>
      </c>
      <c r="B5" s="9" t="n">
        <v>22.2442758273153</v>
      </c>
      <c r="C5" s="9" t="n">
        <v>21.9878607806543</v>
      </c>
      <c r="D5" s="9" t="n">
        <v>18.25720150673465</v>
      </c>
      <c r="E5" s="9" t="n">
        <v>25.96088903394532</v>
      </c>
      <c r="F5" s="20" t="n"/>
      <c r="G5" s="20" t="n"/>
      <c r="H5" s="20" t="n"/>
      <c r="I5" s="20" t="n"/>
      <c r="J5" s="20" t="n">
        <v>0</v>
      </c>
      <c r="K5" t="n">
        <v>3</v>
      </c>
      <c r="L5" t="inlineStr">
        <is>
          <t>EV/EBITDA 6.0 (ntm); P/E 8.0 (ntm); FCF yield 0.125 (ntm)</t>
        </is>
      </c>
      <c r="M5" s="44" t="inlineStr">
        <is>
          <t>Lowest value: 6.0x EV/EBITDA (below the decided 6.1x, -$0.39) and FCF yield 12.5% (above today's 12.3%); a well-argued industry build.</t>
        </is>
      </c>
    </row>
    <row r="6">
      <c r="A6" t="inlineStr">
        <is>
          <t>agent 3</t>
        </is>
      </c>
      <c r="B6" s="9" t="n">
        <v>22.45618358350524</v>
      </c>
      <c r="C6" s="9" t="n">
        <v>22.34424549794424</v>
      </c>
      <c r="D6" s="9" t="n">
        <v>18.88931630020204</v>
      </c>
      <c r="E6" s="9" t="n">
        <v>25.61579891166214</v>
      </c>
      <c r="F6" s="20" t="n"/>
      <c r="G6" s="20" t="n"/>
      <c r="H6" s="20" t="n"/>
      <c r="I6" s="20" t="n"/>
      <c r="J6" s="20" t="n">
        <v>0</v>
      </c>
      <c r="K6" t="n">
        <v>3</v>
      </c>
      <c r="L6" t="inlineStr">
        <is>
          <t>EV/EBITDA 6.0 (ntm); P/E 8.0 (ntm); FCF yield 0.12 (ntm)</t>
        </is>
      </c>
      <c r="M6" s="44" t="inlineStr">
        <is>
          <t>EPS and FCF/share are stated, not linked to the drivers (no driver_build.set), so the bear/bull moves come from eps_pct; AC EBITDA +5.5%/+5.0% is the low end without a driver reason; 6.0x.</t>
        </is>
      </c>
    </row>
    <row r="7">
      <c r="A7" t="inlineStr">
        <is>
          <t>agent 4</t>
        </is>
      </c>
      <c r="B7" s="9" t="n">
        <v>23.48161126412766</v>
      </c>
      <c r="C7" s="9" t="n">
        <v>23.31355787048764</v>
      </c>
      <c r="D7" s="9" t="n">
        <v>18.88221558824844</v>
      </c>
      <c r="E7" s="9" t="n">
        <v>26.97630047172684</v>
      </c>
      <c r="F7" s="20" t="n"/>
      <c r="G7" s="20" t="n"/>
      <c r="H7" s="20" t="n"/>
      <c r="I7" s="20" t="n"/>
      <c r="J7" s="20" t="n">
        <v>0</v>
      </c>
      <c r="K7" t="n">
        <v>3</v>
      </c>
      <c r="L7" t="inlineStr">
        <is>
          <t>EV/EBITDA 6.2 (ntm); P/E 8.0 (ntm); FCF yield 0.124 (ntm)</t>
        </is>
      </c>
      <c r="M7" s="44" t="inlineStr">
        <is>
          <t>6.2x EV/EBITDA (+$0.40 vs 6.1x) and a P/E weight of 0.40 without blend evidence; wireless ARPU +1.8% in 2027 is above what the Q3 exit rate supports.</t>
        </is>
      </c>
    </row>
    <row r="8">
      <c r="A8" t="inlineStr">
        <is>
          <t>agent 5</t>
        </is>
      </c>
      <c r="B8" s="9" t="n">
        <v>22.83054416202366</v>
      </c>
      <c r="C8" s="9" t="n">
        <v>22.65825041515935</v>
      </c>
      <c r="D8" s="9" t="n">
        <v>18.25855466157404</v>
      </c>
      <c r="E8" s="9" t="n">
        <v>26.5066762997301</v>
      </c>
      <c r="F8" s="20" t="n"/>
      <c r="G8" s="20" t="n"/>
      <c r="H8" s="20" t="n"/>
      <c r="I8" s="20" t="n"/>
      <c r="J8" s="20" t="n">
        <v>0</v>
      </c>
      <c r="K8" t="n">
        <v>3</v>
      </c>
      <c r="L8" t="inlineStr">
        <is>
          <t>EV/EBITDA 6.1 (ntm); P/E 8.2 (ntm); FCF yield 0.12 (ntm)</t>
        </is>
      </c>
      <c r="M8" s="44" t="inlineStr">
        <is>
          <t>EPS and FCF/share are stated, not driver-linked (no driver_build.set); 2027-28 FCF blends 45% on the record-adjusted guide, which is a record view rather than a build; fiber stake x0.85 and C-band -$3.0B are the harshest without new evidence.</t>
        </is>
      </c>
    </row>
    <row r="9">
      <c r="A9" t="inlineStr">
        <is>
          <t>supervisor</t>
        </is>
      </c>
      <c r="B9" s="9" t="n">
        <v>23.15763221641325</v>
      </c>
      <c r="C9" s="9" t="n">
        <v>22.98854781937983</v>
      </c>
      <c r="D9" s="9" t="n">
        <v>18.94812791475874</v>
      </c>
      <c r="E9" s="9" t="n">
        <v>26.82796085500165</v>
      </c>
      <c r="F9" s="20" t="n"/>
      <c r="G9" s="20" t="n"/>
      <c r="H9" s="20" t="n"/>
      <c r="I9" s="20" t="n"/>
      <c r="J9" s="20" t="n">
        <v>0</v>
      </c>
      <c r="K9" t="n">
        <v>3</v>
      </c>
      <c r="L9" t="inlineStr">
        <is>
          <t>EV/EBITDA 6.1 (ntm); P/E 8.3 (ntm); FCF yield 0.123 (ntm)</t>
        </is>
      </c>
      <c r="M9" s="4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40" customWidth="1" min="4" max="4"/>
    <col width="70" customWidth="1" min="6" max="6"/>
  </cols>
  <sheetData>
    <row r="1">
      <c r="A1" s="1" t="inlineStr">
        <is>
          <t>T: where each input comes from (source numbers point to the list below; F ids to the SEC fact table)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Basis</t>
        </is>
      </c>
      <c r="D3" s="3" t="inlineStr">
        <is>
          <t>Sources</t>
        </is>
      </c>
      <c r="E3" s="3" t="inlineStr">
        <is>
          <t>SEC fact ids</t>
        </is>
      </c>
      <c r="F3" s="3" t="inlineStr">
        <is>
          <t>Derivation</t>
        </is>
      </c>
    </row>
    <row r="4">
      <c r="A4" s="44" t="inlineStr">
        <is>
          <t>driver:pp_subs</t>
        </is>
      </c>
      <c r="B4" t="inlineStr">
        <is>
          <t>Average postpaid phone subscribers (AT&amp;T, Advanced Connectivity): base 73.4815 -&gt; 74.95 / 76.18 / 77.05 M</t>
        </is>
      </c>
      <c r="C4" t="inlineStr">
        <is>
          <t>estimate</t>
        </is>
      </c>
      <c r="D4" t="inlineStr">
        <is>
          <t>10, 5, 57</t>
        </is>
      </c>
      <c r="E4" t="inlineStr"/>
      <c r="F4" s="44" t="inlineStr">
        <is>
          <t>Base FY2025 = (72.749 + 74.214) / 2 = 73.4815M. FY2026: Dec-26 = 75.283 + Q4 adds ~0.40 = 75.68; avg (74.214 + 75.68) / 2 = 74.95. FY2027: +1.0M adds (2026 ~1.5M; Q3 adds slowed to 379k, Verizon steering to the top of its 750k-1M phone-add guide [57]) -&gt; Dec-27 76.68, avg 76.18. FY2028: +0.75M (Starlink Mobile service start targeted end-2027) -&gt; Dec-28 77.43, avg 77.05.</t>
        </is>
      </c>
    </row>
    <row r="5">
      <c r="A5" s="44" t="inlineStr">
        <is>
          <t>driver:ws_arpu</t>
        </is>
      </c>
      <c r="B5" t="inlineStr">
        <is>
          <t>AC wireless service revenue per average postpaid phone: base 76.4183 -&gt; 77.75 / 79.0 / 79.59 $/month</t>
        </is>
      </c>
      <c r="C5" t="inlineStr">
        <is>
          <t>estimate</t>
        </is>
      </c>
      <c r="D5" t="inlineStr">
        <is>
          <t>9, 5, 7</t>
        </is>
      </c>
      <c r="E5" t="inlineStr"/>
      <c r="F5" s="44" t="inlineStr">
        <is>
          <t>Base 67,384 / 73.4815 / 12 = $76.42. FY2026 (52,118 + Q4 ~17,810) / 74.95 / 12 = $77.75 (+1.7%). Q3 2026 run rate 17,764 / avg Q3 subs 75.09M / 3 = $78.86, i.e. the April and June 2026 price actions are already in the exit rate; FY2027 = exit rate +0.2% fees = $79.00 (+1.6%); FY2028 +0.75% = $79.59 (no new list-price rise assumed with a fourth entrant due).</t>
        </is>
      </c>
    </row>
    <row r="6">
      <c r="A6" s="44" t="inlineStr">
        <is>
          <t>driver:hi_subs</t>
        </is>
      </c>
      <c r="B6" t="inlineStr">
        <is>
          <t>Average consumer AT&amp;T Fiber + Internet Air connections: base 10.928 -&gt; 14.06 / 16.59 / 18.89 M</t>
        </is>
      </c>
      <c r="C6" t="inlineStr">
        <is>
          <t>estimate</t>
        </is>
      </c>
      <c r="D6" t="inlineStr">
        <is>
          <t>10, 5, 7</t>
        </is>
      </c>
      <c r="E6" t="inlineStr"/>
      <c r="F6" s="44" t="inlineStr">
        <is>
          <t>Base (9.953 + 11.903) / 2 = 10.928M. FY2026 time-weighted for the Lumen subscribers added in Q1: quarter averages ~12.9 / 13.82 / 14.44 / 15.09 -&gt; 14.06M (agent_2's derivation, checked against Sep-26 14.791M). FY2027: adds ~2.4M (2026 organic ~2.4M: Q1 ~0.52, Q2 0.555, Q3 0.696, Q4 ~0.6) -&gt; Dec-26 15.391 (Sep-26 14.791 + Q4 ~0.6), Dec-27 17.79, avg (15.39 + 17.79) / 2 = 16.59. FY2028: adds ~2.2M -&gt; Dec-28 19.99, avg 18.89.</t>
        </is>
      </c>
    </row>
    <row r="7">
      <c r="A7" s="44" t="inlineStr">
        <is>
          <t>driver:hi_arpu</t>
        </is>
      </c>
      <c r="B7" t="inlineStr">
        <is>
          <t>Advanced home internet revenue per average connection: base 71.7576 -&gt; 69.52 / 67.3 / 67.65 $/month</t>
        </is>
      </c>
      <c r="C7" t="inlineStr">
        <is>
          <t>estimate</t>
        </is>
      </c>
      <c r="D7" t="inlineStr">
        <is>
          <t>9, 5, 7</t>
        </is>
      </c>
      <c r="E7" t="inlineStr"/>
      <c r="F7" s="44" t="inlineStr">
        <is>
          <t>Base 9,410 / 10.928 / 12 = $71.76. FY2026 (8,700 + Q4 ~3,030) / 14.06 / 12 = $69.52 (-3.1% blended; fiber alone -4%, Internet Air mix offsets). Q3 2026 2,975 / 14.44 / 3 = $68.66; Q4 exit ~$67.0. FY2027 $67.30 (+0.5% on the exit rate, 'relatively stable'); FY2028 $67.65 (+0.5%).</t>
        </is>
      </c>
    </row>
    <row r="8">
      <c r="A8" s="44" t="inlineStr">
        <is>
          <t>driver:ac_m</t>
        </is>
      </c>
      <c r="B8" t="inlineStr">
        <is>
          <t>Advanced Connectivity EBITDA margin: base 0.3962 -&gt; 0.4032 / 0.4125 / 0.4229 fraction</t>
        </is>
      </c>
      <c r="C8" t="inlineStr">
        <is>
          <t>estimate</t>
        </is>
      </c>
      <c r="D8" t="inlineStr">
        <is>
          <t>9, 6, 4</t>
        </is>
      </c>
      <c r="E8" t="inlineStr"/>
      <c r="F8" s="44" t="inlineStr">
        <is>
          <t>Base 44,547 / 112,424 = 39.62%. Path set so AC EBITDA = 47,400 in FY2026 (35,920 + Q4 ~11,480 = Q4-25 10,968 x 1.047; Q4 carries device-launch and fiber go-to-market costs per the call) = +6.4%, +6.0% in FY2027 (50,244) and +5.5% in FY2028 (53,007), divided by the driven AC revenue 117,552 / 121,792 / 125,332: 0.4032 / 0.4125 / 0.4229. The +5.5% in 2028 follows from the driver path: AC service revenue +4.1% (2027) and +3.3% (2028) plus ~1pt a year of margin from cost removal. AC EBIT margin = ac_m - 15.6% AC D&amp;A (Q3 2026 AC D&amp;A 4,702 on AC revenue 29,481 = 15.95%, falling as D&amp;A drops y/y).</t>
        </is>
      </c>
    </row>
    <row r="9">
      <c r="A9" s="44" t="inlineStr">
        <is>
          <t>driver:cap_inv</t>
        </is>
      </c>
      <c r="B9" t="inlineStr">
        <is>
          <t>Capital investment (capex + vendor financing payments): base 22023 -&gt; 23400 / 22800 / 22700 $M</t>
        </is>
      </c>
      <c r="C9" t="inlineStr">
        <is>
          <t>estimate</t>
        </is>
      </c>
      <c r="D9" t="inlineStr">
        <is>
          <t>8, 6, 4, 7</t>
        </is>
      </c>
      <c r="E9" t="inlineStr">
        <is>
          <t>F51</t>
        </is>
      </c>
      <c r="F9" s="44" t="inlineStr">
        <is>
          <t>FY2026 16,786 + Q4 ~6,600 (Q3 5.6B; Q4 seasonally heavier) = 23.4B; FY2027 22.8B and FY2028 22.7B, upper half of the cut range: record lands at or above the first guide (FY2024 22.1 vs 21-22; FY2025 22.0 vs ~22), the 60M+ fiber-location target is unchanged.</t>
        </is>
      </c>
    </row>
    <row r="10">
      <c r="A10" s="44" t="inlineStr">
        <is>
          <t>base revenue FY2025 and segment bases</t>
        </is>
      </c>
      <c r="B10" t="inlineStr">
        <is>
          <t>125,648 = AC 112,424 (wireless service 67,384 + advanced home internet 9,410 + equipment 22,826 + business fiber 7,243 + business transitional 4,911 + other 650) + Legacy 8,472 + Latin America 4,379 + corporate 373</t>
        </is>
      </c>
      <c r="C10" t="inlineStr">
        <is>
          <t>reported</t>
        </is>
      </c>
      <c r="D10" t="inlineStr">
        <is>
          <t>9, 8</t>
        </is>
      </c>
      <c r="E10" t="inlineStr">
        <is>
          <t>F3</t>
        </is>
      </c>
      <c r="F10" s="44" t="inlineStr">
        <is>
          <t>Q4 2025 Ex.99.4 recast (AC lines opened this round); Latin America and corporate as in round 1 (sum to F3).</t>
        </is>
      </c>
    </row>
    <row r="11">
      <c r="A11" s="44" t="inlineStr">
        <is>
          <t>Legacy segment</t>
        </is>
      </c>
      <c r="B11" t="inlineStr">
        <is>
          <t>revenue 6,319 / 4,613 / 3,229; EBITDA margin 32.1% / 20% / -5% (EBITDA 2,031 / 923 / -161); no Legacy D&amp;A</t>
        </is>
      </c>
      <c r="C11" t="inlineStr">
        <is>
          <t>estimate</t>
        </is>
      </c>
      <c r="D11" t="inlineStr">
        <is>
          <t>9, 5, 4, 7</t>
        </is>
      </c>
      <c r="E11" t="inlineStr"/>
      <c r="F11" s="44" t="inlineStr">
        <is>
          <t>FY2025 Legacy revenue 8,472, EBITDA 3,339 (Ex.99.4); 9M 2026 revenue 4,919, operating income = EBITDA 1,633, D&amp;A 0 (Ex.99.2) (opened). FY2026 = 1,633 + Q4 ~398 (Q4-25 682, Ex.99.4, x 0.73 less ~$100M vendor settlements that hit Legacy, call) = 2,031. 2027 revenue -27%, margin 20% (cost removal lags the run-off); 2028 -30%, margin -5% (guide: Legacy EBITDA negative after 2027).</t>
        </is>
      </c>
    </row>
    <row r="12">
      <c r="A12" s="44" t="inlineStr">
        <is>
          <t>Latin America (Mexico) and corporate</t>
        </is>
      </c>
      <c r="B12" t="inlineStr">
        <is>
          <t>Latin America revenue 4,948 / 841 / 0 at an 18% EBITDA margin (9M 2026 revenue 3,637); corporate EBITDA -2,130 a year (corporate D&amp;A ~315 a year below EBITDA)</t>
        </is>
      </c>
      <c r="C12" t="inlineStr">
        <is>
          <t>estimate</t>
        </is>
      </c>
      <c r="D12" t="inlineStr">
        <is>
          <t>5, 6, 2</t>
        </is>
      </c>
      <c r="E12" t="inlineStr"/>
      <c r="F12" s="44" t="inlineStr">
        <is>
          <t>Mexico sale signed 2026-10-13, close Q1 2027 (R17, opened). Corporate: 9M 2026 adjusted EBITDA 36,638 - AC 35,920 - Legacy 1,633 - Latin America 683 (Ex.99.3) = -1,598 -&gt; ~-2,130 a year. Corporate D&amp;A 9M 236 (14,910 - AC 14,094 - LatAm 580) -&gt; ~315 a year, kept after the Mexico sale.</t>
        </is>
      </c>
    </row>
    <row r="13">
      <c r="A13" s="44" t="inlineStr">
        <is>
          <t>D&amp;A</t>
        </is>
      </c>
      <c r="B13" t="inlineStr">
        <is>
          <t>19,703 / 19,315 / 19,867 (AC D&amp;A 16.0% of AC revenue in 2026, 15.6% after; Latin America D&amp;A 580 in 9M 2026 then nil; corporate D&amp;A ~315 a year)</t>
        </is>
      </c>
      <c r="C13" t="inlineStr">
        <is>
          <t>estimate</t>
        </is>
      </c>
      <c r="D13" t="inlineStr">
        <is>
          <t>6, 9, 5</t>
        </is>
      </c>
      <c r="E13" t="inlineStr">
        <is>
          <t>F39</t>
        </is>
      </c>
      <c r="F13" s="44" t="inlineStr">
        <is>
          <t>FY2025 AC D&amp;A 19,959 (17.75% of AC revenue, Ex.99.4); 9M 2026 AC D&amp;A 14,094 (16.3%), Q3 4,702 on AC revenue 29,481 (15.95%) (opened); 9M 2026 total D&amp;A 14,910 (F39 derived) -&gt; non-AC 816 = Latin America 580 (Ex.99.2/99.3; stopped in Q4 under held-for-sale accounting, call) + corporate ~236; corporate D&amp;A ~315 a year continues in 2027-28 (subtracted in corporate_ebit, so EBITDA is unchanged).</t>
        </is>
      </c>
    </row>
    <row r="14">
      <c r="A14" s="44" t="inlineStr">
        <is>
          <t>EPS bridge items (other income, interest, NCI, tax, average shares)</t>
        </is>
      </c>
      <c r="B14" t="inlineStr">
        <is>
          <t>other income 2,463 / 2,250 / 2,150; corporate D&amp;A 315 a year in 2027-28; interest 7,700 / 8,050 / 7,950; NCI + preferred 1,644; tax 21.5%; average diluted shares 6,880 / 6,485 / 6,196M</t>
        </is>
      </c>
      <c r="C14" t="inlineStr">
        <is>
          <t>estimate</t>
        </is>
      </c>
      <c r="D14" t="inlineStr">
        <is>
          <t>1, 6, 4, 14</t>
        </is>
      </c>
      <c r="E14" t="inlineStr">
        <is>
          <t>F33</t>
        </is>
      </c>
      <c r="F14" s="44" t="inlineStr">
        <is>
          <t>Q3 2026 interest 1,979 (10-Q, opened) x 4 = 7.9B run rate on 159.6B gross debt, debt due within one year 9,483 (10-Q) refinanced at higher rates (call: higher cash interest from higher gross debt and rates); NCI income 1,113 in 9M (-&gt; ~1,500) + preferred dividends 143; other income calibrated so FY2026 EPS = 2.41 (guide '$2.40 range', 9M $1.86); shares: 6,745.5M diluted now, ~$7B a year buybacks at ~$22-23.5 less ~15M issuance. Gate fix: FY2026 other income recalibrated to ~2,463 so FY2026 EPS stays at 2.41 after the Legacy (-42), corporate (-30) and Q4 corporate D&amp;A (-79) fixes; 2027-28 EPS now carries corporate D&amp;A 315 a year.</t>
        </is>
      </c>
    </row>
    <row r="15">
      <c r="A15" s="44" t="inlineStr">
        <is>
          <t>FCF bridge items (K = EBITDA - capital investment - FCF)</t>
        </is>
      </c>
      <c r="B15" t="inlineStr">
        <is>
          <t>6,735 / 7,918 / 8,068 -&gt; FCF 18,129 / 18,470 / 19,947</t>
        </is>
      </c>
      <c r="C15" t="inlineStr">
        <is>
          <t>estimate</t>
        </is>
      </c>
      <c r="D15" t="inlineStr">
        <is>
          <t>6, 7, 4</t>
        </is>
      </c>
      <c r="E15" t="inlineStr"/>
      <c r="F15" s="44" t="inlineStr">
        <is>
          <t>FY2026 FCF = 9M 12,129 (Ex.99.3) + Q4 ~6,000 (call) = 18,129; K2026 = 48,264 - 23,400 - 18,129. K2027 = K2026 + interest 350 + cash taxes 250 (call: 2026 cash taxes ~$750M under the 2025 tax law) + separation cash 650 (call: ~$800M charge, cash primarily 2027) - 67 other. K2028 = K2027 - 650 + 900 (cash taxes as the catch-up deductions run off) - 100 interest. Gate fix: corporate EBITDA -2,130 (was -2,100; see the corporate line) lowers 2027-28 EBITDA and FCF by ~30 each.</t>
        </is>
      </c>
    </row>
    <row r="16">
      <c r="A16" s="44" t="inlineStr">
        <is>
          <t>net debt 2026-09-30</t>
        </is>
      </c>
      <c r="B16" t="inlineStr">
        <is>
          <t>149819</t>
        </is>
      </c>
      <c r="C16" t="inlineStr">
        <is>
          <t>reported</t>
        </is>
      </c>
      <c r="D16" t="inlineStr">
        <is>
          <t>6</t>
        </is>
      </c>
      <c r="E16" t="inlineStr"/>
      <c r="F16" s="44" t="inlineStr">
        <is>
          <t>Q3 2026 Ex.99.3 net debt $149,819M, 3.13x annualised adjusted EBITDA (opened); total debt 159,627 and cash 10,767 in the 10-Q balance sheet.</t>
        </is>
      </c>
    </row>
    <row r="17">
      <c r="A17" s="44" t="inlineStr">
        <is>
          <t>net_debt_horizon (2027-10-23)</t>
        </is>
      </c>
      <c r="B17" t="inlineStr">
        <is>
          <t>144260.0</t>
        </is>
      </c>
      <c r="C17" t="inlineStr">
        <is>
          <t>estimate</t>
        </is>
      </c>
      <c r="D17" t="inlineStr">
        <is>
          <t>6, 7, 4, 2, 14</t>
        </is>
      </c>
      <c r="E17" t="inlineStr"/>
      <c r="F17" s="44" t="inlineStr">
        <is>
          <t>Dec-26 = 149,819 - Q4 FCF 6,000 + dividend paid 2026-11-02 (0.2775 x 6,737M = 1,870) + Q4 buybacks ~2,500 (~$10B 2026 plan less 9M) + NCI/preferred ~410 = 148,600. Oct-23-2027 = 148,600 - 0.752 x 2027 FCF 18,470 (13,889: 9M 2026 was 66.9% of the year plus 23/92 of Q4's 33.1%) + three 2027 dividends 5,428 + buybacks 5,670 (0.81 x ~$7B) + NCI/preferred 1,337 - Mexico cash 2,000 x 0.9 - Mexico finance leases 1,209 x 0.9 leaving with the business = ~144,260.</t>
        </is>
      </c>
    </row>
    <row r="18">
      <c r="A18" s="44" t="inlineStr">
        <is>
          <t>minorities</t>
        </is>
      </c>
      <c r="B18" t="inlineStr">
        <is>
          <t>17985</t>
        </is>
      </c>
      <c r="C18" t="inlineStr">
        <is>
          <t>reported</t>
        </is>
      </c>
      <c r="D18" t="inlineStr">
        <is>
          <t>1</t>
        </is>
      </c>
      <c r="E18" t="inlineStr"/>
      <c r="F18" s="44" t="inlineStr">
        <is>
          <t>10-Q balance sheet 2026-09-30: noncontrolling interest 15,979 + redeemable noncontrolling interest 2,006 (opened).</t>
        </is>
      </c>
    </row>
    <row r="19">
      <c r="A19" s="44" t="inlineStr">
        <is>
          <t>preferred</t>
        </is>
      </c>
      <c r="B19" t="inlineStr">
        <is>
          <t>2950</t>
        </is>
      </c>
      <c r="C19" t="inlineStr">
        <is>
          <t>estimate</t>
        </is>
      </c>
      <c r="D19" t="inlineStr">
        <is>
          <t>59, 60, 14</t>
        </is>
      </c>
      <c r="E19" t="inlineStr"/>
      <c r="F19" s="44" t="inlineStr">
        <is>
          <t>Derived: Series A 48,000 and Series C 70,000 shares outstanding at 2026-09-30 (10-Q R6) x $25,000 per share liquidation preference (10-K R26) = 1,200 + 1,750 = 2,950; quarterly dividends $312.50 / $296.875 per share (finviz) are consistent.</t>
        </is>
      </c>
    </row>
    <row r="20">
      <c r="A20" s="44" t="inlineStr">
        <is>
          <t>shares</t>
        </is>
      </c>
      <c r="B20" t="inlineStr">
        <is>
          <t>now 6,745.5M (6,736.5M outstanding 2026-10-15 + ~9M dilutive); horizon 6,387M</t>
        </is>
      </c>
      <c r="C20" t="inlineStr">
        <is>
          <t>estimate</t>
        </is>
      </c>
      <c r="D20" t="inlineStr">
        <is>
          <t>1, 4</t>
        </is>
      </c>
      <c r="E20" t="inlineStr">
        <is>
          <t>F33</t>
        </is>
      </c>
      <c r="F20" s="44" t="inlineStr">
        <is>
          <t>Cover 6,736,473,433 shares at 2026-10-15 (opened); 9M 2026 repurchases ~291M shares (10-Q). Q4 2026 ~$2.5B at ~$21.5 = 116M; 2027 to Oct-23 ~$5.67B at ~$22 = 258M; +15M stock-plan issuance -&gt; 6,387M.</t>
        </is>
      </c>
    </row>
    <row r="21">
      <c r="A21" s="44" t="inlineStr">
        <is>
          <t>Composite Fiber 37 stake adjustment</t>
        </is>
      </c>
      <c r="B21" t="inlineStr">
        <is>
          <t>4,058 x 0.9</t>
        </is>
      </c>
      <c r="C21" t="inlineStr">
        <is>
          <t>estimate</t>
        </is>
      </c>
      <c r="D21" t="inlineStr">
        <is>
          <t>3, 2</t>
        </is>
      </c>
      <c r="E21" t="inlineStr"/>
      <c r="F21" s="44" t="inlineStr">
        <is>
          <t>R63 4,781 - 723 = 4,058 (opened); R17 JV terms (opened).</t>
        </is>
      </c>
    </row>
    <row r="22">
      <c r="A22" s="44" t="inlineStr">
        <is>
          <t>Upper C-band spend adjustment</t>
        </is>
      </c>
      <c r="B22" t="inlineStr">
        <is>
          <t>-5,000 x 0.4</t>
        </is>
      </c>
      <c r="C22" t="inlineStr">
        <is>
          <t>estimate</t>
        </is>
      </c>
      <c r="D22" t="inlineStr">
        <is>
          <t>52, 24, 69</t>
        </is>
      </c>
      <c r="E22" t="inlineStr"/>
      <c r="F22" s="44" t="inlineStr">
        <is>
          <t>Auction 115 schedule (DA 26-769; statutory completion 2027-07-04). Size: AT&amp;T ~$5B if it wins (2021 C-band, Auction 107: AT&amp;T $23.4B for 1,621 licences, ~80 MHz in 95% of the country per Evercore, Light Reading; Auction 115 offers 160 MHz); p 0.4.</t>
        </is>
      </c>
    </row>
    <row r="23">
      <c r="A23" s="44" t="inlineStr">
        <is>
          <t>EV/EBITDA NTM horizon multiple</t>
        </is>
      </c>
      <c r="B23" t="inlineStr">
        <is>
          <t>6.1x on EV incl. NCI and preferred, excl. the fiber stake (decided by Kilian 2026-10-26: keep)</t>
        </is>
      </c>
      <c r="C23" t="inlineStr">
        <is>
          <t>judgment</t>
        </is>
      </c>
      <c r="D23" t="inlineStr">
        <is>
          <t>19, 20, 27, 28, 29, 30, 31, 32, 33, 39, 40, 41, 42, 55</t>
        </is>
      </c>
      <c r="E23" t="inlineStr"/>
      <c r="F23" s="44" t="inlineStr">
        <is>
          <t>AT&amp;T today: EV on our basis (141.2 + 149.8 + 18.0 + 2.95 - 3.65 = 308.3B) / consensus NTM EBITDA 49.5B = 6.23x; on the peers' basis 5.78x (MarketScreener 2027E). 6.1x = 5.69x on the peers' basis: -5% to the ex-DT peer benchmark 5.98x (11 incumbents; +3% to the 12-peer 5.52x incl. DT, reference only).</t>
        </is>
      </c>
    </row>
    <row r="24">
      <c r="A24" s="44" t="inlineStr">
        <is>
          <t>P/E NTM horizon multiple and EPS</t>
        </is>
      </c>
      <c r="B24" t="inlineStr">
        <is>
          <t>8.3x on driver-linked NTM EPS (0.19 x 2.66 + 0.81 x 2.91)</t>
        </is>
      </c>
      <c r="C24" t="inlineStr">
        <is>
          <t>judgment</t>
        </is>
      </c>
      <c r="D24" t="inlineStr">
        <is>
          <t>21, 19, 20, 28</t>
        </is>
      </c>
      <c r="E24" t="inlineStr"/>
      <c r="F24" s="44" t="inlineStr">
        <is>
          <t>Today's market level on one consensus basis (Zacks via Nasdaq API): $20.93 / (0.19 x $2.38 + 0.81 x $2.54) = 8.34x -&gt; 8.3x (rounded down as before); peer median 10.55x is indicative (EPS basis unstated on MarketScreener); structural discount (NCI/preferred claims ~$1.6B a year, 3.1x leverage, SpaceX exposure).</t>
        </is>
      </c>
    </row>
    <row r="25">
      <c r="A25" s="44" t="inlineStr">
        <is>
          <t>FCF yield horizon multiple and FCF/share</t>
        </is>
      </c>
      <c r="B25" t="inlineStr">
        <is>
          <t>12.3% on driver-linked NTM FCF to common per horizon share</t>
        </is>
      </c>
      <c r="C25" t="inlineStr">
        <is>
          <t>judgment</t>
        </is>
      </c>
      <c r="D25" t="inlineStr">
        <is>
          <t>19, 6, 7</t>
        </is>
      </c>
      <c r="E25" t="inlineStr"/>
      <c r="F25" s="44" t="inlineStr">
        <is>
          <t>Today's level on consensus NTM FCF to common: (0.19 x 17.97B + 0.81 x 19.24B - 1.65B) / 6,745.5M = $2.57 / $20.93 = 12.3%.</t>
        </is>
      </c>
    </row>
    <row r="26">
      <c r="A26" s="44" t="inlineStr">
        <is>
          <t>tax rate</t>
        </is>
      </c>
      <c r="B26" t="inlineStr">
        <is>
          <t>0.215</t>
        </is>
      </c>
      <c r="C26" t="inlineStr">
        <is>
          <t>estimate</t>
        </is>
      </c>
      <c r="D26" t="inlineStr">
        <is>
          <t>6, 5</t>
        </is>
      </c>
      <c r="E26" t="inlineStr"/>
      <c r="F26" s="44" t="inlineStr">
        <is>
          <t>Adjusted 9M 2026 effective rate ~21.2% (agent_5 from Ex.99.2/99.3).</t>
        </is>
      </c>
    </row>
    <row r="27">
      <c r="A27" s="44" t="inlineStr">
        <is>
          <t>leg weights</t>
        </is>
      </c>
      <c r="B27" t="inlineStr">
        <is>
          <t>EV/EBITDA 0.5, P/E 0.35, FCF yield 0.15</t>
        </is>
      </c>
      <c r="C27" t="inlineStr">
        <is>
          <t>judgment</t>
        </is>
      </c>
      <c r="D27" t="inlineStr">
        <is>
          <t>56</t>
        </is>
      </c>
      <c r="E27" t="inlineStr"/>
      <c r="F27" s="44" t="inlineStr">
        <is>
          <t>Forecasters' median weights (EV/EBITDA 0.45-0.5, P/E 0.30-0.40, FCF 0.15-0.20); the WRDS blend-weight study tests DCF vs forward P/E only, so no evidence moves them.</t>
        </is>
      </c>
    </row>
    <row r="29">
      <c r="A29" s="3" t="inlineStr">
        <is>
          <t>#</t>
        </is>
      </c>
      <c r="B29" s="3" t="inlineStr">
        <is>
          <t>Source</t>
        </is>
      </c>
      <c r="C29" s="3" t="inlineStr">
        <is>
          <t>Date</t>
        </is>
      </c>
      <c r="D29" s="3" t="inlineStr">
        <is>
          <t>Link</t>
        </is>
      </c>
    </row>
    <row r="30">
      <c r="A30" t="n">
        <v>1</v>
      </c>
      <c r="B30" s="44" t="inlineStr">
        <is>
          <t>AT&amp;T Form 10-Q for the quarter ended 2026-09-30</t>
        </is>
      </c>
      <c r="C30" t="inlineStr">
        <is>
          <t>2026-10-21</t>
        </is>
      </c>
      <c r="D30" t="inlineStr">
        <is>
          <t>https://www.sec.gov/Archives/edgar/data/732717/000073271726000372/t-20260930.htm</t>
        </is>
      </c>
    </row>
    <row r="31">
      <c r="A31" t="n">
        <v>2</v>
      </c>
      <c r="B31" s="44" t="inlineStr">
        <is>
          <t>AT&amp;T 10-Q Q3 2026, XBRL report R17: Acquisitions, Dispositions and Other Adjustments (Mexico sale, Composite Fiber 37 JV, EchoStar)</t>
        </is>
      </c>
      <c r="C31" t="inlineStr">
        <is>
          <t>2026-10-21</t>
        </is>
      </c>
      <c r="D31" t="inlineStr">
        <is>
          <t>https://www.sec.gov/Archives/edgar/data/732717/000073271726000372/R17.htm</t>
        </is>
      </c>
    </row>
    <row r="32">
      <c r="A32" t="n">
        <v>3</v>
      </c>
      <c r="B32" s="44" t="inlineStr">
        <is>
          <t>AT&amp;T 10-Q Q3 2026, XBRL report R63: assets and liabilities of discontinued operations (Lumen Mass Markets / Forged Fiber)</t>
        </is>
      </c>
      <c r="C32" t="inlineStr">
        <is>
          <t>2026-10-21</t>
        </is>
      </c>
      <c r="D32" t="inlineStr">
        <is>
          <t>https://www.sec.gov/Archives/edgar/data/732717/000073271726000372/R63.htm</t>
        </is>
      </c>
    </row>
    <row r="33">
      <c r="A33" t="n">
        <v>4</v>
      </c>
      <c r="B33" s="44" t="inlineStr">
        <is>
          <t>AT&amp;T 8-K Ex.99.1: Q3 2026 earnings release and outlook</t>
        </is>
      </c>
      <c r="C33" t="inlineStr">
        <is>
          <t>2026-10-21</t>
        </is>
      </c>
      <c r="D33" t="inlineStr">
        <is>
          <t>https://www.sec.gov/Archives/edgar/data/732717/000073271726000370/t-3q2026exhibit991.htm</t>
        </is>
      </c>
    </row>
    <row r="34">
      <c r="A34" t="n">
        <v>5</v>
      </c>
      <c r="B34" s="44" t="inlineStr">
        <is>
          <t>AT&amp;T 8-K Ex.99.2: Q3 2026 financial and operating data</t>
        </is>
      </c>
      <c r="C34" t="inlineStr">
        <is>
          <t>2026-10-21</t>
        </is>
      </c>
      <c r="D34" t="inlineStr">
        <is>
          <t>https://www.sec.gov/Archives/edgar/data/732717/000073271726000370/t-3q2026exhibit992.htm</t>
        </is>
      </c>
    </row>
    <row r="35">
      <c r="A35" t="n">
        <v>6</v>
      </c>
      <c r="B35" s="44" t="inlineStr">
        <is>
          <t>AT&amp;T 8-K Ex.99.3: Q3 2026 non-GAAP reconciliations (FCF, capital investment, adjusted EBITDA, net debt)</t>
        </is>
      </c>
      <c r="C35" t="inlineStr">
        <is>
          <t>2026-10-21</t>
        </is>
      </c>
      <c r="D35" t="inlineStr">
        <is>
          <t>https://www.sec.gov/Archives/edgar/data/732717/000073271726000370/t-3q2026exhibit993.htm</t>
        </is>
      </c>
    </row>
    <row r="36">
      <c r="A36" t="n">
        <v>7</v>
      </c>
      <c r="B36" s="44" t="inlineStr">
        <is>
          <t>AT&amp;T Q3 2026 earnings call transcript (LSEG StreetEvents, AT&amp;T investor relations)</t>
        </is>
      </c>
      <c r="C36" t="inlineStr">
        <is>
          <t>2026-10-21</t>
        </is>
      </c>
      <c r="D36" t="inlineStr">
        <is>
          <t>https://investors.att.com/~/media/Files/A/ATT-IR-V2/financial-reports/quarterly-earnings/2026/3Q-2026/t-usq-transcript-2026-10-21.pdf</t>
        </is>
      </c>
    </row>
    <row r="37">
      <c r="A37" t="n">
        <v>8</v>
      </c>
      <c r="B37" s="44" t="inlineStr">
        <is>
          <t>AT&amp;T 8-K Ex.99.1: Q4 2025 earnings release (FY2025 actuals; first 2026 and 2027-28 outlook)</t>
        </is>
      </c>
      <c r="C37" t="inlineStr">
        <is>
          <t>2026-01-28</t>
        </is>
      </c>
      <c r="D37" t="inlineStr">
        <is>
          <t>https://www.sec.gov/Archives/edgar/data/732717/000073271726000047/t-4q2025exhibit991.htm</t>
        </is>
      </c>
    </row>
    <row r="38">
      <c r="A38" t="n">
        <v>9</v>
      </c>
      <c r="B38" s="44" t="inlineStr">
        <is>
          <t>AT&amp;T 8-K Ex.99.4: FY2025 supplemental segment information recast to Advanced Connectivity / Legacy</t>
        </is>
      </c>
      <c r="C38" t="inlineStr">
        <is>
          <t>2026-01-28</t>
        </is>
      </c>
      <c r="D38" t="inlineStr">
        <is>
          <t>https://www.sec.gov/Archives/edgar/data/732717/000073271726000047/t-4q2025exhibit994.htm</t>
        </is>
      </c>
    </row>
    <row r="39">
      <c r="A39" t="n">
        <v>10</v>
      </c>
      <c r="B39" s="44" t="inlineStr">
        <is>
          <t>AT&amp;T 8-K Ex.99.2: Q4 2025 financial and operating data (year-end subscribers)</t>
        </is>
      </c>
      <c r="C39" t="inlineStr">
        <is>
          <t>2026-01-28</t>
        </is>
      </c>
      <c r="D39" t="inlineStr">
        <is>
          <t>https://www.sec.gov/Archives/edgar/data/732717/000073271726000047/t-4q2025exhibit992.htm</t>
        </is>
      </c>
    </row>
    <row r="40">
      <c r="A40" t="n">
        <v>11</v>
      </c>
      <c r="B40" s="44" t="inlineStr">
        <is>
          <t>AT&amp;T 8-K Ex.99.1: Q4 2024 earnings release (FY2024 actuals; 2025 outlook)</t>
        </is>
      </c>
      <c r="C40" t="inlineStr">
        <is>
          <t>2025-01-27</t>
        </is>
      </c>
      <c r="D40" t="inlineStr">
        <is>
          <t>https://www.sec.gov/Archives/edgar/data/732717/000073271725000007/t-4q2024exhibit991.htm</t>
        </is>
      </c>
    </row>
    <row r="41">
      <c r="A41" t="n">
        <v>12</v>
      </c>
      <c r="B41" s="44" t="inlineStr">
        <is>
          <t>AT&amp;T 8-K Ex.99.1: Q4 2023 earnings release (FY2023 actuals; 2024 outlook)</t>
        </is>
      </c>
      <c r="C41" t="inlineStr">
        <is>
          <t>2024-01-24</t>
        </is>
      </c>
      <c r="D41" t="inlineStr">
        <is>
          <t>https://www.sec.gov/Archives/edgar/data/732717/000073271724000006/t-4q2023exhibit991.htm</t>
        </is>
      </c>
    </row>
    <row r="42">
      <c r="A42" t="n">
        <v>13</v>
      </c>
      <c r="B42" s="44" t="inlineStr">
        <is>
          <t>AT&amp;T Form 10-K for FY2025 (preferred stock note)</t>
        </is>
      </c>
      <c r="C42" t="inlineStr">
        <is>
          <t>2026-02-09</t>
        </is>
      </c>
      <c r="D42" t="inlineStr">
        <is>
          <t>https://www.sec.gov/Archives/edgar/data/732717/000073271726000120/t-20251231.htm</t>
        </is>
      </c>
    </row>
    <row r="43">
      <c r="A43" t="n">
        <v>14</v>
      </c>
      <c r="B43" s="44" t="inlineStr">
        <is>
          <t>AT&amp;T declares dividends on common and preferred shares (PR Newswire via Finviz)</t>
        </is>
      </c>
      <c r="C43" t="inlineStr">
        <is>
          <t>2026-09-24</t>
        </is>
      </c>
      <c r="D43" t="inlineStr">
        <is>
          <t>https://finviz.com/news/395407/att-declares-dividends-on-common-and-preferred-shares</t>
        </is>
      </c>
    </row>
    <row r="44">
      <c r="A44" t="n">
        <v>15</v>
      </c>
      <c r="B44" s="44" t="inlineStr">
        <is>
          <t>Motley Fool: Why AT&amp;T stock plunged on Friday (Bloomberg report: SpaceX seeks access to 80,000+ US cell sites)</t>
        </is>
      </c>
      <c r="C44" t="inlineStr">
        <is>
          <t>2026-10-23</t>
        </is>
      </c>
      <c r="D44" t="inlineStr">
        <is>
          <t>https://fool.com/investing/2026/10/23/why-att-stock-plunged-on-friday</t>
        </is>
      </c>
    </row>
    <row r="45">
      <c r="A45" t="n">
        <v>16</v>
      </c>
      <c r="B45" s="44" t="inlineStr">
        <is>
          <t>24/7 Wall St.: Telecom stocks fall as SpaceX eyes 80,000 cell sites</t>
        </is>
      </c>
      <c r="C45" t="inlineStr">
        <is>
          <t>2026-10-23</t>
        </is>
      </c>
      <c r="D45" t="inlineStr">
        <is>
          <t>https://247wallst.com/investing/2026/10/23/telecom-stocks-fall-as-spacex-eyes-80000-cell-sites-t-mobile-sinks-5-att-drops-4-verizon-slides-3/</t>
        </is>
      </c>
    </row>
    <row r="46">
      <c r="A46" t="n">
        <v>17</v>
      </c>
      <c r="B46" s="44" t="inlineStr">
        <is>
          <t>Benzinga: AT&amp;T falls 11% to $22.14 at midday on SpaceX 800 MHz spectrum purchase</t>
        </is>
      </c>
      <c r="C46" t="inlineStr">
        <is>
          <t>2026-10-09</t>
        </is>
      </c>
      <c r="D46" t="inlineStr">
        <is>
          <t>https://www.benzinga.com/node/62281475</t>
        </is>
      </c>
    </row>
    <row r="47">
      <c r="A47" t="n">
        <v>18</v>
      </c>
      <c r="B47" s="44" t="inlineStr">
        <is>
          <t>Latham &amp; Watkins: Grain Management definitive agreement to sell 800 MHz spectrum portfolio to SpaceX</t>
        </is>
      </c>
      <c r="C47" t="inlineStr">
        <is>
          <t>2026-10-09</t>
        </is>
      </c>
      <c r="D47" t="inlineStr">
        <is>
          <t>https://www.lw.com/en/news/2026/10/latham-watkins-advises-on-grain-management-definitive-agreement-to-sell-spectrum-portfolio-to-spacex</t>
        </is>
      </c>
    </row>
    <row r="48">
      <c r="A48" t="n">
        <v>19</v>
      </c>
      <c r="B48" s="44" t="inlineStr">
        <is>
          <t>MarketScreener: AT&amp;T consensus estimates (24 analysts)</t>
        </is>
      </c>
      <c r="C48" t="inlineStr">
        <is>
          <t>2026-10-23</t>
        </is>
      </c>
      <c r="D48" t="inlineStr">
        <is>
          <t>https://www.marketscreener.com/quote/stock/AT-T-INC-14324/finances/</t>
        </is>
      </c>
    </row>
    <row r="49">
      <c r="A49" t="n">
        <v>20</v>
      </c>
      <c r="B49" s="44" t="inlineStr">
        <is>
          <t>MarketScreener: Verizon valuation (2027E EV/EBITDA 6.17x, P/E 8.51x)</t>
        </is>
      </c>
      <c r="C49" t="inlineStr">
        <is>
          <t>2026-10-23</t>
        </is>
      </c>
      <c r="D49" t="inlineStr">
        <is>
          <t>https://www.marketscreener.com/quote/stock/VERIZON-COMMUNICATIONS-IN-4830/valuation/</t>
        </is>
      </c>
    </row>
    <row r="50">
      <c r="A50" t="n">
        <v>21</v>
      </c>
      <c r="B50" s="44" t="inlineStr">
        <is>
          <t>Nasdaq.com analyst earnings-forecast API for T (Zacks consensus EPS*: FY2026 2.38, FY2027 2.54, FY2028 2.86), fetched 2026-10-25 (snapshot runs/2026-10-23/T/scratch_agent_5/nq_T.json)</t>
        </is>
      </c>
      <c r="C50" t="inlineStr">
        <is>
          <t>2026-10-25</t>
        </is>
      </c>
      <c r="D50" t="inlineStr">
        <is>
          <t>https://api.nasdaq.com/api/analyst/T/earnings-forecast</t>
        </is>
      </c>
    </row>
    <row r="51">
      <c r="A51" t="n">
        <v>22</v>
      </c>
      <c r="B51" s="44" t="inlineStr">
        <is>
          <t>Run peer comps table peers.md (SEC filings trailing; Zacks NTM P/E)</t>
        </is>
      </c>
      <c r="C51" t="inlineStr">
        <is>
          <t>2026-10-25</t>
        </is>
      </c>
      <c r="D51" t="inlineStr">
        <is>
          <t>valuation/runs/2026-10-23/T/peers.md</t>
        </is>
      </c>
    </row>
    <row r="52">
      <c r="A52" t="n">
        <v>23</v>
      </c>
      <c r="B52" s="44" t="inlineStr">
        <is>
          <t>secfacts.py peers VZ TMUS CMCSA CHTR (filing-based trailing multiples)</t>
        </is>
      </c>
      <c r="C52" t="inlineStr">
        <is>
          <t>2026-10-26</t>
        </is>
      </c>
      <c r="D52" t="inlineStr">
        <is>
          <t>valuation/secfacts.py</t>
        </is>
      </c>
    </row>
    <row r="53">
      <c r="A53" t="n">
        <v>24</v>
      </c>
      <c r="B53" s="44" t="inlineStr">
        <is>
          <t>TV Technology: FCC adopts plan for upper C-band auction in July 2027</t>
        </is>
      </c>
      <c r="C53" t="inlineStr">
        <is>
          <t>2026-07</t>
        </is>
      </c>
      <c r="D53" t="inlineStr">
        <is>
          <t>https://www.tvtechnology.com/regulatory-legal/fcc-adopts-plan-for-c-band-auction-in-july-2027</t>
        </is>
      </c>
    </row>
    <row r="54">
      <c r="A54" t="n">
        <v>25</v>
      </c>
      <c r="B54" s="44" t="inlineStr">
        <is>
          <t>NewscastStudio: FCC adopts rules for upper C-band auction (160 MHz, 3.98-4.14 GHz)</t>
        </is>
      </c>
      <c r="C54" t="inlineStr">
        <is>
          <t>2026-07-22</t>
        </is>
      </c>
      <c r="D54" t="inlineStr">
        <is>
          <t>https://www.newscaststudio.com/2026/07/22/fcc-adopts-rules-for-upper-c-band-auction-sets-stage-for-440-mhz-super-band/</t>
        </is>
      </c>
    </row>
    <row r="55">
      <c r="A55" t="n">
        <v>26</v>
      </c>
      <c r="B55" s="44" t="inlineStr">
        <is>
          <t>Polymarket: SpaceX becomes a US mobile carrier by ___? (13% by 2027-06-30, 34.5% by 2027-12-31; thin volume)</t>
        </is>
      </c>
      <c r="C55" t="inlineStr">
        <is>
          <t>2026-10-25</t>
        </is>
      </c>
      <c r="D55" t="inlineStr">
        <is>
          <t>https://polymarket.com/event/spacex-becomes-a-us-mobile-carrier-by</t>
        </is>
      </c>
    </row>
    <row r="56">
      <c r="A56" t="n">
        <v>27</v>
      </c>
      <c r="B56" s="44" t="inlineStr">
        <is>
          <t>MarketScreener: T-Mobile US valuation (2027E EV/EBITDA 5.98x)</t>
        </is>
      </c>
      <c r="C56" t="inlineStr">
        <is>
          <t>2026-10-23</t>
        </is>
      </c>
      <c r="D56" t="inlineStr">
        <is>
          <t>https://www.marketscreener.com/quote/stock/T-MOBILE-US-INC-199910225/valuation/</t>
        </is>
      </c>
    </row>
    <row r="57">
      <c r="A57" t="n">
        <v>28</v>
      </c>
      <c r="B57" s="44" t="inlineStr">
        <is>
          <t>MarketScreener: Comcast valuation (2027E EV/EBITDA 4.79x)</t>
        </is>
      </c>
      <c r="C57" t="inlineStr">
        <is>
          <t>2026-10-23</t>
        </is>
      </c>
      <c r="D57" t="inlineStr">
        <is>
          <t>https://www.marketscreener.com/quote/stock/COMCAST-CORPORATION-4864/valuation/</t>
        </is>
      </c>
    </row>
    <row r="58">
      <c r="A58" t="n">
        <v>29</v>
      </c>
      <c r="B58" s="44" t="inlineStr">
        <is>
          <t>MarketScreener: Charter valuation (2027E EV/EBITDA 4.38x)</t>
        </is>
      </c>
      <c r="C58" t="inlineStr">
        <is>
          <t>2026-10-23</t>
        </is>
      </c>
      <c r="D58" t="inlineStr">
        <is>
          <t>https://www.marketscreener.com/quote/stock/CHARTER-COMMUNICATIONS-IN-27738754/valuation/</t>
        </is>
      </c>
    </row>
    <row r="59">
      <c r="A59" t="n">
        <v>30</v>
      </c>
      <c r="B59" s="44" t="inlineStr">
        <is>
          <t>MarketScreener: BCE valuation (2027E EV/EBITDA 6.14x; P/E 10.6x)</t>
        </is>
      </c>
      <c r="C59" t="inlineStr">
        <is>
          <t>2026-10-23</t>
        </is>
      </c>
      <c r="D59" t="inlineStr">
        <is>
          <t>https://www.marketscreener.com/quote/stock/BCE-INC-11783/valuation/</t>
        </is>
      </c>
    </row>
    <row r="60">
      <c r="A60" t="n">
        <v>31</v>
      </c>
      <c r="B60" s="44" t="inlineStr">
        <is>
          <t>MarketScreener: Rogers valuation (2027E EV/EBITDA 6.39x; P/E 11.8x)</t>
        </is>
      </c>
      <c r="C60" t="inlineStr">
        <is>
          <t>2026-10-23</t>
        </is>
      </c>
      <c r="D60" t="inlineStr">
        <is>
          <t>https://www.marketscreener.com/quote/stock/ROGERS-COMMUNICATIONS-INC-1411426/valuation/</t>
        </is>
      </c>
    </row>
    <row r="61">
      <c r="A61" t="n">
        <v>32</v>
      </c>
      <c r="B61" s="44" t="inlineStr">
        <is>
          <t>MarketScreener: Deutsche Telekom valuation (2027E EV/EBITDA 4.98x; P/E 10.4x)</t>
        </is>
      </c>
      <c r="C61" t="inlineStr">
        <is>
          <t>2026-10-23</t>
        </is>
      </c>
      <c r="D61" t="inlineStr">
        <is>
          <t>https://www.marketscreener.com/quote/stock/DEUTSCHE-TELEKOM-AG-444661/valuation/</t>
        </is>
      </c>
    </row>
    <row r="62">
      <c r="A62" t="n">
        <v>33</v>
      </c>
      <c r="B62" s="44" t="inlineStr">
        <is>
          <t>MarketScreener: Orange valuation (2027E EV/EBITDA 4.76x; P/E 12.2x)</t>
        </is>
      </c>
      <c r="C62" t="inlineStr">
        <is>
          <t>2026-10-23</t>
        </is>
      </c>
      <c r="D62" t="inlineStr">
        <is>
          <t>https://www.marketscreener.com/quote/stock/ORANGE-4649/valuation/</t>
        </is>
      </c>
    </row>
    <row r="63">
      <c r="A63" t="n">
        <v>34</v>
      </c>
      <c r="B63" s="44" t="inlineStr">
        <is>
          <t>SEC: shortening the securities transaction settlement cycle to T+1 (ex-dividend date = record date from 2024-05-28)</t>
        </is>
      </c>
      <c r="C63" t="inlineStr">
        <is>
          <t>2023-02-15</t>
        </is>
      </c>
      <c r="D63" t="inlineStr">
        <is>
          <t>https://www.sec.gov/newsroom/press-releases/2023-29</t>
        </is>
      </c>
    </row>
    <row r="64">
      <c r="A64" t="n">
        <v>35</v>
      </c>
      <c r="B64" s="44" t="inlineStr">
        <is>
          <t>Berger, P. and Ofek, E. (1995), Diversification's effect on firm value, Journal of Financial Economics 37(1): 39-65 (13-15% diversification discount)</t>
        </is>
      </c>
      <c r="C64" t="inlineStr">
        <is>
          <t>1995</t>
        </is>
      </c>
      <c r="D64" t="inlineStr">
        <is>
          <t>https://doi.org/10.1016/0304-405X(94)00798-6</t>
        </is>
      </c>
    </row>
    <row r="65">
      <c r="A65" t="n">
        <v>36</v>
      </c>
      <c r="B65" s="44" t="inlineStr">
        <is>
          <t>Verizon: Verizon to report third-quarter 2026 earnings on October 26</t>
        </is>
      </c>
      <c r="C65" t="inlineStr">
        <is>
          <t>2026-09-28</t>
        </is>
      </c>
      <c r="D65" t="inlineStr">
        <is>
          <t>https://www.verizon.com/about/news/verizon-q3-2026-earnings-report-date</t>
        </is>
      </c>
    </row>
    <row r="66">
      <c r="A66" t="n">
        <v>37</v>
      </c>
      <c r="B66" s="44" t="inlineStr">
        <is>
          <t>T-Mobile press release (Business Wire via Finviz, 2026-09-17): Q3 2026 earnings call Wednesday 2026-10-28, 4:30 p.m. ET</t>
        </is>
      </c>
      <c r="C66" t="inlineStr">
        <is>
          <t>2026-09-17</t>
        </is>
      </c>
      <c r="D66" t="inlineStr">
        <is>
          <t>https://finviz.com/news/393276/t-mobile-to-host-q3-2026-earnings-call-on-october-28-2026</t>
        </is>
      </c>
    </row>
    <row r="67">
      <c r="A67" t="n">
        <v>38</v>
      </c>
      <c r="B67" s="44" t="inlineStr">
        <is>
          <t>PhoneArena: TD Cowen consumer survey on switching to Starlink Mobile</t>
        </is>
      </c>
      <c r="C67" t="inlineStr">
        <is>
          <t>2026-10</t>
        </is>
      </c>
      <c r="D67" t="inlineStr">
        <is>
          <t>https://www.phonearena.com/news/at-t-t-mobile-verizon-starlink-consumer-survey-td-cowen_id183837</t>
        </is>
      </c>
    </row>
    <row r="68">
      <c r="A68" t="n">
        <v>39</v>
      </c>
      <c r="B68" s="44" t="inlineStr">
        <is>
          <t>MarketScreener: Telefonica valuation (2027E EBITDA 12,333; EV 49,268; P/E 7.9x)</t>
        </is>
      </c>
      <c r="C68" t="inlineStr">
        <is>
          <t>2026-10-23</t>
        </is>
      </c>
      <c r="D68" t="inlineStr">
        <is>
          <t>https://www.marketscreener.com/quote/stock/TELEF-NICA-S-A-68962/valuation/</t>
        </is>
      </c>
    </row>
    <row r="69">
      <c r="A69" t="n">
        <v>40</v>
      </c>
      <c r="B69" s="44" t="inlineStr">
        <is>
          <t>MarketScreener: Swisscom valuation (2027E EBITDA 6,796; EV 50,340; P/E 23.7x)</t>
        </is>
      </c>
      <c r="C69" t="inlineStr">
        <is>
          <t>2026-10-23</t>
        </is>
      </c>
      <c r="D69" t="inlineStr">
        <is>
          <t>https://www.marketscreener.com/quote/stock/SWISSCOM-AG-441185/valuation/</t>
        </is>
      </c>
    </row>
    <row r="70">
      <c r="A70" t="n">
        <v>41</v>
      </c>
      <c r="B70" s="44" t="inlineStr">
        <is>
          <t>MarketScreener: Vodafone valuation (FY Mar-27/Mar-28 EBITDA 13,204/14,058; net debt 30,878/29,405; P/E 13.2x/10.9x)</t>
        </is>
      </c>
      <c r="C70" t="inlineStr">
        <is>
          <t>2026-10-23</t>
        </is>
      </c>
      <c r="D70" t="inlineStr">
        <is>
          <t>https://www.marketscreener.com/quote/stock/VODAFONE-GROUP-PLC-15867071/valuation/</t>
        </is>
      </c>
    </row>
    <row r="71">
      <c r="A71" t="n">
        <v>42</v>
      </c>
      <c r="B71" s="44" t="inlineStr">
        <is>
          <t>MarketScreener: TELUS valuation (2027E EBITDA 7,256; EV 48,037; P/E 21.7x)</t>
        </is>
      </c>
      <c r="C71" t="inlineStr">
        <is>
          <t>2026-10-23</t>
        </is>
      </c>
      <c r="D71" t="inlineStr">
        <is>
          <t>https://www.marketscreener.com/quote/stock/TELUS-CORPORATION-1411858/valuation/</t>
        </is>
      </c>
    </row>
    <row r="72">
      <c r="A72" t="n">
        <v>43</v>
      </c>
      <c r="B72" s="44" t="inlineStr">
        <is>
          <t>BCE 2025 annual report MD&amp;A (Form 40-F exhibit 99.2); lease figures are in the 40-F XBRL R113/R114/R115/R34</t>
        </is>
      </c>
      <c r="C72" t="inlineStr">
        <is>
          <t>2026-03</t>
        </is>
      </c>
      <c r="D72" t="inlineStr">
        <is>
          <t>https://www.sec.gov/Archives/edgar/data/718940/000119312526095004/d86374dex992.htm</t>
        </is>
      </c>
    </row>
    <row r="73">
      <c r="A73" t="n">
        <v>44</v>
      </c>
      <c r="B73" s="44" t="inlineStr">
        <is>
          <t>TELUS 2025 MD&amp;A and financial statements (lease liabilities $3.3B; net debt definition)</t>
        </is>
      </c>
      <c r="C73" t="inlineStr">
        <is>
          <t>2026-02</t>
        </is>
      </c>
      <c r="D73" t="inlineStr">
        <is>
          <t>https://assets.ctfassets.net/fltupc9ltp8m/5XMfEtySOfXg9mh25TUeS/2b711837335ec72e214a6130cae20392/TELUS_2025_MD_A_and_Financial_Statements__EN.pdf</t>
        </is>
      </c>
    </row>
    <row r="74">
      <c r="A74" t="n">
        <v>45</v>
      </c>
      <c r="B74" s="44" t="inlineStr">
        <is>
          <t>TELUS Q4 2025 IR supplemental (net debt 25,189)</t>
        </is>
      </c>
      <c r="C74" t="inlineStr">
        <is>
          <t>2026-02</t>
        </is>
      </c>
      <c r="D74" t="inlineStr">
        <is>
          <t>https://assets.ctfassets.net/fltupc9ltp8m/6yTBJyA0R6F67yWR3fnKfC/ad1a6418c93125dc78f3186ae32f4729/TELUS_Q4_2025_IR_Supplemental.pdf</t>
        </is>
      </c>
    </row>
    <row r="75">
      <c r="A75" t="n">
        <v>46</v>
      </c>
      <c r="B75" s="44" t="inlineStr">
        <is>
          <t>Rogers Form 40-F FY2025 (lease liabilities 690 + 2,428 = $3,118M; ROU depreciation $455M); lease interest $147M in R104</t>
        </is>
      </c>
      <c r="C75" t="inlineStr">
        <is>
          <t>2026-03</t>
        </is>
      </c>
      <c r="D75" t="inlineStr">
        <is>
          <t>https://www.sec.gov/Archives/edgar/data/733099/000073309926000009/rci-20251231_d2.htm</t>
        </is>
      </c>
    </row>
    <row r="76">
      <c r="A76" t="n">
        <v>47</v>
      </c>
      <c r="B76" s="44" t="inlineStr">
        <is>
          <t>Deutsche Telekom FY2025 results (adjusted EBITDA AL EUR 44.2B)</t>
        </is>
      </c>
      <c r="C76" t="inlineStr">
        <is>
          <t>2026-02</t>
        </is>
      </c>
      <c r="D76" t="inlineStr">
        <is>
          <t>https://www.telekom.com/en/newsroom/latest-updates/media-information/2026/2/deutsche-telekom-outperforms-targets-for-2025</t>
        </is>
      </c>
    </row>
    <row r="77">
      <c r="A77" t="n">
        <v>48</v>
      </c>
      <c r="B77" s="44" t="inlineStr">
        <is>
          <t>Orange FY2025 results (EBITDAaL EUR 12,470M; net financial debt 22,526M)</t>
        </is>
      </c>
      <c r="C77" t="inlineStr">
        <is>
          <t>2026-02</t>
        </is>
      </c>
      <c r="D77" t="inlineStr">
        <is>
          <t>https://www.orange.com/en/press-release/success-of-lead-the-future-2023-2025-strategic-plan-2025-objectives-fully-achieved-440051</t>
        </is>
      </c>
    </row>
    <row r="78">
      <c r="A78" t="n">
        <v>49</v>
      </c>
      <c r="B78" s="44" t="inlineStr">
        <is>
          <t>Telefonica FY2025 results (adjusted EBITDA 11,918M; adjusted OpCFaL 5,081M; capex 4.34B)</t>
        </is>
      </c>
      <c r="C78" t="inlineStr">
        <is>
          <t>2026-02-24</t>
        </is>
      </c>
      <c r="D78" t="inlineStr">
        <is>
          <t>https://www.telefonica.com/en/communication-room/press-room/telefonica-accelerates-growth-quarter-2025-increases-revenues-adjusted-ebitda-free-cash-flow/</t>
        </is>
      </c>
    </row>
    <row r="79">
      <c r="A79" t="n">
        <v>50</v>
      </c>
      <c r="B79" s="44" t="inlineStr">
        <is>
          <t>Swisscom five-year overview 2021-2025 (EBITDA 6,617M; EBITDAaL 4,984M; net debt 15,633M)</t>
        </is>
      </c>
      <c r="C79" t="inlineStr">
        <is>
          <t>2026-02</t>
        </is>
      </c>
      <c r="D79" t="inlineStr">
        <is>
          <t>https://www.swisscom.ch/de/about/investoren/kennzahlen/fuenfjahresuebersicht.html</t>
        </is>
      </c>
    </row>
    <row r="80">
      <c r="A80" t="n">
        <v>51</v>
      </c>
      <c r="B80" s="44" t="inlineStr">
        <is>
          <t>Vodafone FY26 preliminary results (adjusted EBITDAaL ~EUR 11.6B; net debt 25,411M excl. leases)</t>
        </is>
      </c>
      <c r="C80" t="inlineStr">
        <is>
          <t>2026-05</t>
        </is>
      </c>
      <c r="D80" t="inlineStr">
        <is>
          <t>https://www.vodafone.com/~/media/Files/V/vodafone/corp/results-and-presentations/vodafone-fy26-preliminary-results.pdf</t>
        </is>
      </c>
    </row>
    <row r="81">
      <c r="A81" t="n">
        <v>52</v>
      </c>
      <c r="B81" s="44" t="inlineStr">
        <is>
          <t>FCC Public Notice DA 26-769: Auction 115 (Upper C-band, 3.98-4.14 GHz) comment on procedures; bidding tentatively from 2027-04-27</t>
        </is>
      </c>
      <c r="C81" t="inlineStr">
        <is>
          <t>2026-07-24</t>
        </is>
      </c>
      <c r="D81" t="inlineStr">
        <is>
          <t>https://docs.fcc.gov/public/attachments/DA-26-769A1.pdf</t>
        </is>
      </c>
    </row>
    <row r="82">
      <c r="A82" t="n">
        <v>53</v>
      </c>
      <c r="B82" s="44" t="inlineStr">
        <is>
          <t>Jones Walker: FCC opens the door to Auction 115 (upper C-band; statutory completion by 2027-07-04)</t>
        </is>
      </c>
      <c r="C82" t="inlineStr">
        <is>
          <t>2026-08</t>
        </is>
      </c>
      <c r="D82" t="inlineStr">
        <is>
          <t>https://www.joneswalker.com/en/insights/blogs/perspectives/fcc-opens-the-door-to-auction-115-how-the-upper-c-band-auction-could-shape-the-n.html</t>
        </is>
      </c>
    </row>
    <row r="83">
      <c r="A83" t="n">
        <v>54</v>
      </c>
      <c r="B83" s="44" t="inlineStr">
        <is>
          <t>Benton Institute: FCC tentative agenda for the October 29, 2026 open meeting (NPRM 'Modernizing the Supplemental Coverage from Space Rules', +482 MHz for SCS)</t>
        </is>
      </c>
      <c r="C83" t="inlineStr">
        <is>
          <t>2026-10</t>
        </is>
      </c>
      <c r="D83" t="inlineStr">
        <is>
          <t>https://benton.org/node/361225</t>
        </is>
      </c>
    </row>
    <row r="84">
      <c r="A84" t="n">
        <v>55</v>
      </c>
      <c r="B84" s="44" t="inlineStr">
        <is>
          <t>Twelve Data: T daily OHLC 2026-10-06 to 2026-10-23 (closes 24.87 Oct-8, 22.18 Oct-9, 23.42 Oct-20, 21.91 Oct-21, 22.74 Oct-22, 20.93 Oct-23)</t>
        </is>
      </c>
      <c r="C84" t="inlineStr">
        <is>
          <t>2026-10-26</t>
        </is>
      </c>
      <c r="D84" t="inlineStr">
        <is>
          <t>https://twelvedata.com/markets/stocks/T</t>
        </is>
      </c>
    </row>
    <row r="85">
      <c r="A85" t="n">
        <v>56</v>
      </c>
      <c r="B85" s="44" t="inlineStr">
        <is>
          <t>WRDS blend-weight study README (DCF vs forward-P/E blend weights; no EV/EBITDA vs P/E vs FCF-yield evidence)</t>
        </is>
      </c>
      <c r="C85" t="inlineStr">
        <is>
          <t>2026-10-20</t>
        </is>
      </c>
      <c r="D85" t="inlineStr">
        <is>
          <t>/mnt/project-files/wrds/results/blend_weights/README.md</t>
        </is>
      </c>
    </row>
    <row r="86">
      <c r="A86" t="n">
        <v>57</v>
      </c>
      <c r="B86" s="44" t="inlineStr">
        <is>
          <t>TIKR: Verizon stock is 8% off its September peak - the Q3 test its CEO set (2026 phone net adds at the top of 750k-1M)</t>
        </is>
      </c>
      <c r="C86" t="inlineStr">
        <is>
          <t>2026-09-26</t>
        </is>
      </c>
      <c r="D86" t="inlineStr">
        <is>
          <t>https://www.tikr.com/blog/verizon-stock-is-8-off-its-september-peak-heres-the-q3-test-its-ceo-set</t>
        </is>
      </c>
    </row>
    <row r="87">
      <c r="A87" t="n">
        <v>58</v>
      </c>
      <c r="B87" s="44" t="inlineStr">
        <is>
          <t>AT&amp;T 8-K Ex.99.1: Q4 2022 earnings release (FY2022 actuals; first FY2023 guide)</t>
        </is>
      </c>
      <c r="C87" t="inlineStr">
        <is>
          <t>2023-01-25</t>
        </is>
      </c>
      <c r="D87" t="inlineStr">
        <is>
          <t>https://www.sec.gov/Archives/edgar/data/732717/000073271723000007/t-4q2022exhibit991.htm</t>
        </is>
      </c>
    </row>
    <row r="88">
      <c r="A88" t="n">
        <v>59</v>
      </c>
      <c r="B88" s="44" t="inlineStr">
        <is>
          <t>AT&amp;T 10-Q Q3 2026, XBRL R6: balance sheet parenthetical (preferred Series A 48,000 and Series C 70,000 shares outstanding)</t>
        </is>
      </c>
      <c r="C88" t="inlineStr">
        <is>
          <t>2026-10-21</t>
        </is>
      </c>
      <c r="D88" t="inlineStr">
        <is>
          <t>https://www.sec.gov/Archives/edgar/data/732717/000073271726000372/R6.htm</t>
        </is>
      </c>
    </row>
    <row r="89">
      <c r="A89" t="n">
        <v>60</v>
      </c>
      <c r="B89" s="44" t="inlineStr">
        <is>
          <t>AT&amp;T 10-K FY2025, XBRL R26: Stockholders' and Mezzanine Equity (Series A and C, $25,000 per share liquidation preference)</t>
        </is>
      </c>
      <c r="C89" t="inlineStr">
        <is>
          <t>2026-02-09</t>
        </is>
      </c>
      <c r="D89" t="inlineStr">
        <is>
          <t>https://www.sec.gov/Archives/edgar/data/732717/000073271726000120/R26.htm</t>
        </is>
      </c>
    </row>
    <row r="90">
      <c r="A90" t="n">
        <v>61</v>
      </c>
      <c r="B90" s="44" t="inlineStr">
        <is>
          <t>BCE 40-F FY2025, XBRL R114: interest expense on lease liabilities $194M (2025)</t>
        </is>
      </c>
      <c r="C90" t="inlineStr">
        <is>
          <t>2026-03</t>
        </is>
      </c>
      <c r="D90" t="inlineStr">
        <is>
          <t>https://www.sec.gov/Archives/edgar/data/718940/000119312526095004/R114.htm</t>
        </is>
      </c>
    </row>
    <row r="91">
      <c r="A91" t="n">
        <v>62</v>
      </c>
      <c r="B91" s="44" t="inlineStr">
        <is>
          <t>BCE 40-F FY2025, XBRL R113: depreciation of right-of-use assets $874M (2025)</t>
        </is>
      </c>
      <c r="C91" t="inlineStr">
        <is>
          <t>2026-03</t>
        </is>
      </c>
      <c r="D91" t="inlineStr">
        <is>
          <t>https://www.sec.gov/Archives/edgar/data/718940/000119312526095004/R113.htm</t>
        </is>
      </c>
    </row>
    <row r="92">
      <c r="A92" t="n">
        <v>63</v>
      </c>
      <c r="B92" s="44" t="inlineStr">
        <is>
          <t>BCE 40-F FY2025, XBRL R34: lease liabilities $5,242M at 2025-12-31 (current 933 + long-term 4,309, inside debt)</t>
        </is>
      </c>
      <c r="C92" t="inlineStr">
        <is>
          <t>2026-03</t>
        </is>
      </c>
      <c r="D92" t="inlineStr">
        <is>
          <t>https://www.sec.gov/Archives/edgar/data/718940/000119312526095004/R34.htm</t>
        </is>
      </c>
    </row>
    <row r="93">
      <c r="A93" t="n">
        <v>64</v>
      </c>
      <c r="B93" s="44" t="inlineStr">
        <is>
          <t>TELUS 40-F FY2025, XBRL R125: depreciation of right-of-use lease assets $570M (2025)</t>
        </is>
      </c>
      <c r="C93" t="inlineStr">
        <is>
          <t>2026-02-12</t>
        </is>
      </c>
      <c r="D93" t="inlineStr">
        <is>
          <t>https://www.sec.gov/Archives/edgar/data/868675/000110465926013854/R125.htm</t>
        </is>
      </c>
    </row>
    <row r="94">
      <c r="A94" t="n">
        <v>65</v>
      </c>
      <c r="B94" s="44" t="inlineStr">
        <is>
          <t>TELUS 40-F FY2025, XBRL R97: financing costs, interest on lease liabilities $161M (2025)</t>
        </is>
      </c>
      <c r="C94" t="inlineStr">
        <is>
          <t>2026-02-12</t>
        </is>
      </c>
      <c r="D94" t="inlineStr">
        <is>
          <t>https://www.sec.gov/Archives/edgar/data/868675/000110465926013854/R97.htm</t>
        </is>
      </c>
    </row>
    <row r="95">
      <c r="A95" t="n">
        <v>66</v>
      </c>
      <c r="B95" s="44" t="inlineStr">
        <is>
          <t>TELUS 40-F FY2025, XBRL R75: net debt 25,189 = long-term debt 30,539 (lease liabilities are part of long-term debt, R152) less 3,625 junior subordinated equity credit and cash</t>
        </is>
      </c>
      <c r="C95" t="inlineStr">
        <is>
          <t>2026-02-12</t>
        </is>
      </c>
      <c r="D95" t="inlineStr">
        <is>
          <t>https://www.sec.gov/Archives/edgar/data/868675/000110465926013854/R75.htm</t>
        </is>
      </c>
    </row>
    <row r="96">
      <c r="A96" t="n">
        <v>67</v>
      </c>
      <c r="B96" s="44" t="inlineStr">
        <is>
          <t>Rogers 40-F FY2025, XBRL R104: finance costs, interest on lease liabilities $147M (2025)</t>
        </is>
      </c>
      <c r="C96" t="inlineStr">
        <is>
          <t>2026-03-06</t>
        </is>
      </c>
      <c r="D96" t="inlineStr">
        <is>
          <t>https://www.sec.gov/Archives/edgar/data/733099/000073309926000009/R104.htm</t>
        </is>
      </c>
    </row>
    <row r="97">
      <c r="A97" t="n">
        <v>68</v>
      </c>
      <c r="B97" s="44" t="inlineStr">
        <is>
          <t>TelecomTV relaying Orange FY2025 results (EBITDAaL EUR 12,470M; net financial debt EUR 22,526M)</t>
        </is>
      </c>
      <c r="C97" t="inlineStr">
        <is>
          <t>2026-02-18</t>
        </is>
      </c>
      <c r="D97" t="inlineStr">
        <is>
          <t>https://www.telecomtv.com/content/access-evolution/orange-2025-results-success-of-lead-the-future-2023-2025-strategic-plan-2025-objectives-fully-achieved-54885/</t>
        </is>
      </c>
    </row>
    <row r="98">
      <c r="A98" t="n">
        <v>69</v>
      </c>
      <c r="B98" s="44" t="inlineStr">
        <is>
          <t>Light Reading: C-band (Auction 107) results - AT&amp;T $23.4B for 1,621 licences; ~80 MHz in 95% of the country (Evercore)</t>
        </is>
      </c>
      <c r="C98" t="inlineStr">
        <is>
          <t>2021-02</t>
        </is>
      </c>
      <c r="D98" t="inlineStr">
        <is>
          <t>https://www.lightreading.com/5g/verizon-at-t-t-mobile-here-are-the-c-band-auction-results</t>
        </is>
      </c>
    </row>
    <row r="99">
      <c r="A99" t="n">
        <v>70</v>
      </c>
      <c r="B99" s="44" t="inlineStr">
        <is>
          <t>AT&amp;T FWP pricing term sheet 2026-07-27 (issuer ratings: Moody's Baa2 stable, S&amp;P BBB stable, Fitch BBB+ Negative Outlook)</t>
        </is>
      </c>
      <c r="C99" t="inlineStr">
        <is>
          <t>2026-07-27</t>
        </is>
      </c>
      <c r="D99" t="inlineStr">
        <is>
          <t>https://www.sec.gov/Archives/edgar/data/732717/000119312526318207/d101711dfwp.htm</t>
        </is>
      </c>
    </row>
    <row r="100">
      <c r="A100" t="n">
        <v>71</v>
      </c>
      <c r="B100" s="44" t="inlineStr">
        <is>
          <t>Cord Cutters News (Luke Bouma): FCC Oct-29-2026 agenda, SCS NPRM would open an additional 482 MHz</t>
        </is>
      </c>
      <c r="C100" t="inlineStr">
        <is>
          <t>2026-10</t>
        </is>
      </c>
      <c r="D100" t="inlineStr">
        <is>
          <t>https://cordcuttersnews.com/fcc-agenda-targets-better-wireless-coverage-stronger-equipment-checks-and-rural-broadband-oversight/?amp=1</t>
        </is>
      </c>
    </row>
    <row r="102">
      <c r="A102" s="3" t="inlineStr">
        <is>
          <t>Fact id</t>
        </is>
      </c>
      <c r="B102" s="3" t="inlineStr">
        <is>
          <t>Figure</t>
        </is>
      </c>
      <c r="C102" s="3" t="inlineStr">
        <is>
          <t>Value</t>
        </is>
      </c>
      <c r="D102" s="3" t="inlineStr">
        <is>
          <t>Filing</t>
        </is>
      </c>
    </row>
    <row r="103">
      <c r="A103" t="inlineStr">
        <is>
          <t>F1</t>
        </is>
      </c>
      <c r="B103" t="inlineStr">
        <is>
          <t>revenue FY ending 2023-12-31 (us-gaap:Revenues)</t>
        </is>
      </c>
      <c r="C103" s="50" t="n">
        <v>122428000000</v>
      </c>
      <c r="D103" t="inlineStr">
        <is>
          <t>https://www.sec.gov/Archives/edgar/data/732717/000073271726000120/</t>
        </is>
      </c>
    </row>
    <row r="104">
      <c r="A104" t="inlineStr">
        <is>
          <t>F2</t>
        </is>
      </c>
      <c r="B104" t="inlineStr">
        <is>
          <t>revenue FY ending 2024-12-31 (us-gaap:Revenues)</t>
        </is>
      </c>
      <c r="C104" s="50" t="n">
        <v>122336000000</v>
      </c>
      <c r="D104" t="inlineStr">
        <is>
          <t>https://www.sec.gov/Archives/edgar/data/732717/000073271726000120/</t>
        </is>
      </c>
    </row>
    <row r="105">
      <c r="A105" t="inlineStr">
        <is>
          <t>F3</t>
        </is>
      </c>
      <c r="B105" t="inlineStr">
        <is>
          <t>revenue FY ending 2025-12-31 (us-gaap:Revenues)</t>
        </is>
      </c>
      <c r="C105" s="50" t="n">
        <v>125648000000</v>
      </c>
      <c r="D105" t="inlineStr">
        <is>
          <t>https://www.sec.gov/Archives/edgar/data/732717/000073271726000120/</t>
        </is>
      </c>
    </row>
    <row r="106">
      <c r="A106" t="inlineStr">
        <is>
          <t>F4</t>
        </is>
      </c>
      <c r="B106" t="inlineStr">
        <is>
          <t>revenue YTD 2026-01-01 to 2026-09-30</t>
        </is>
      </c>
      <c r="C106" s="50" t="n">
        <v>95386000000</v>
      </c>
      <c r="D106" t="inlineStr">
        <is>
          <t>https://www.sec.gov/Archives/edgar/data/732717/000073271726000372/</t>
        </is>
      </c>
    </row>
    <row r="107">
      <c r="A107" t="inlineStr">
        <is>
          <t>F5</t>
        </is>
      </c>
      <c r="B107" t="inlineStr">
        <is>
          <t>revenue prior-year YTD 2025-01-01 to 2025-09-30</t>
        </is>
      </c>
      <c r="C107" s="50" t="n">
        <v>92182000000</v>
      </c>
      <c r="D107" t="inlineStr">
        <is>
          <t>https://www.sec.gov/Archives/edgar/data/732717/000073271726000372/</t>
        </is>
      </c>
    </row>
    <row r="108">
      <c r="A108" t="inlineStr">
        <is>
          <t>F6</t>
        </is>
      </c>
      <c r="B108" t="inlineStr">
        <is>
          <t>revenue TTM to 2026-09-30</t>
        </is>
      </c>
      <c r="C108" s="50" t="n">
        <v>128852000000</v>
      </c>
    </row>
    <row r="109">
      <c r="A109" t="inlineStr">
        <is>
          <t>F7</t>
        </is>
      </c>
      <c r="B109" t="inlineStr">
        <is>
          <t>revenue quarter 2026-07-01 to 2026-09-30</t>
        </is>
      </c>
      <c r="C109" s="50" t="n">
        <v>32322000000</v>
      </c>
      <c r="D109" t="inlineStr">
        <is>
          <t>https://www.sec.gov/Archives/edgar/data/732717/000073271726000372/</t>
        </is>
      </c>
    </row>
    <row r="110">
      <c r="A110" t="inlineStr">
        <is>
          <t>F8</t>
        </is>
      </c>
      <c r="B110" t="inlineStr">
        <is>
          <t>operating_income FY ending 2023-12-31 (us-gaap:OperatingIncomeLoss)</t>
        </is>
      </c>
      <c r="C110" s="50" t="n">
        <v>23461000000</v>
      </c>
      <c r="D110" t="inlineStr">
        <is>
          <t>https://www.sec.gov/Archives/edgar/data/732717/000073271726000120/</t>
        </is>
      </c>
    </row>
    <row r="111">
      <c r="A111" t="inlineStr">
        <is>
          <t>F9</t>
        </is>
      </c>
      <c r="B111" t="inlineStr">
        <is>
          <t>operating_income FY ending 2024-12-31 (us-gaap:OperatingIncomeLoss)</t>
        </is>
      </c>
      <c r="C111" s="50" t="n">
        <v>19049000000</v>
      </c>
      <c r="D111" t="inlineStr">
        <is>
          <t>https://www.sec.gov/Archives/edgar/data/732717/000073271726000120/</t>
        </is>
      </c>
    </row>
    <row r="112">
      <c r="A112" t="inlineStr">
        <is>
          <t>F10</t>
        </is>
      </c>
      <c r="B112" t="inlineStr">
        <is>
          <t>operating_income FY ending 2025-12-31 (us-gaap:OperatingIncomeLoss)</t>
        </is>
      </c>
      <c r="C112" s="50" t="n">
        <v>24162000000</v>
      </c>
      <c r="D112" t="inlineStr">
        <is>
          <t>https://www.sec.gov/Archives/edgar/data/732717/000073271726000120/</t>
        </is>
      </c>
    </row>
    <row r="113">
      <c r="A113" t="inlineStr">
        <is>
          <t>F11</t>
        </is>
      </c>
      <c r="B113" t="inlineStr">
        <is>
          <t>operating_income YTD 2026-01-01 to 2026-09-30</t>
        </is>
      </c>
      <c r="C113" s="50" t="n">
        <v>17791000000</v>
      </c>
      <c r="D113" t="inlineStr">
        <is>
          <t>https://www.sec.gov/Archives/edgar/data/732717/000073271726000372/</t>
        </is>
      </c>
    </row>
    <row r="114">
      <c r="A114" t="inlineStr">
        <is>
          <t>F12</t>
        </is>
      </c>
      <c r="B114" t="inlineStr">
        <is>
          <t>operating_income prior-year YTD 2025-01-01 to 2025-09-30</t>
        </is>
      </c>
      <c r="C114" s="50" t="n">
        <v>18374000000</v>
      </c>
      <c r="D114" t="inlineStr">
        <is>
          <t>https://www.sec.gov/Archives/edgar/data/732717/000073271726000372/</t>
        </is>
      </c>
    </row>
    <row r="115">
      <c r="A115" t="inlineStr">
        <is>
          <t>F13</t>
        </is>
      </c>
      <c r="B115" t="inlineStr">
        <is>
          <t>operating_income TTM to 2026-09-30</t>
        </is>
      </c>
      <c r="C115" s="50" t="n">
        <v>23579000000</v>
      </c>
    </row>
    <row r="116">
      <c r="A116" t="inlineStr">
        <is>
          <t>F14</t>
        </is>
      </c>
      <c r="B116" t="inlineStr">
        <is>
          <t>operating_income quarter 2026-07-01 to 2026-09-30</t>
        </is>
      </c>
      <c r="C116" s="50" t="n">
        <v>4095000000</v>
      </c>
      <c r="D116" t="inlineStr">
        <is>
          <t>https://www.sec.gov/Archives/edgar/data/732717/000073271726000372/</t>
        </is>
      </c>
    </row>
    <row r="117">
      <c r="A117" t="inlineStr">
        <is>
          <t>F15</t>
        </is>
      </c>
      <c r="B117" t="inlineStr">
        <is>
          <t>net_income FY ending 2023-12-31 (us-gaap:NetIncomeLoss)</t>
        </is>
      </c>
      <c r="C117" s="50" t="n">
        <v>14400000000</v>
      </c>
      <c r="D117" t="inlineStr">
        <is>
          <t>https://www.sec.gov/Archives/edgar/data/732717/000073271726000120/</t>
        </is>
      </c>
    </row>
    <row r="118">
      <c r="A118" t="inlineStr">
        <is>
          <t>F16</t>
        </is>
      </c>
      <c r="B118" t="inlineStr">
        <is>
          <t>net_income FY ending 2024-12-31 (us-gaap:NetIncomeLoss)</t>
        </is>
      </c>
      <c r="C118" s="50" t="n">
        <v>10948000000</v>
      </c>
      <c r="D118" t="inlineStr">
        <is>
          <t>https://www.sec.gov/Archives/edgar/data/732717/000073271726000120/</t>
        </is>
      </c>
    </row>
    <row r="119">
      <c r="A119" t="inlineStr">
        <is>
          <t>F17</t>
        </is>
      </c>
      <c r="B119" t="inlineStr">
        <is>
          <t>net_income FY ending 2025-12-31 (us-gaap:NetIncomeLoss)</t>
        </is>
      </c>
      <c r="C119" s="50" t="n">
        <v>21953000000</v>
      </c>
      <c r="D119" t="inlineStr">
        <is>
          <t>https://www.sec.gov/Archives/edgar/data/732717/000073271726000120/</t>
        </is>
      </c>
    </row>
    <row r="120">
      <c r="A120" t="inlineStr">
        <is>
          <t>F18</t>
        </is>
      </c>
      <c r="B120" t="inlineStr">
        <is>
          <t>net_income YTD 2026-01-01 to 2026-09-30</t>
        </is>
      </c>
      <c r="C120" s="50" t="n">
        <v>9347000000</v>
      </c>
      <c r="D120" t="inlineStr">
        <is>
          <t>https://www.sec.gov/Archives/edgar/data/732717/000073271726000372/</t>
        </is>
      </c>
    </row>
    <row r="121">
      <c r="A121" t="inlineStr">
        <is>
          <t>F19</t>
        </is>
      </c>
      <c r="B121" t="inlineStr">
        <is>
          <t>net_income prior-year YTD 2025-01-01 to 2025-09-30</t>
        </is>
      </c>
      <c r="C121" s="50" t="n">
        <v>18165000000</v>
      </c>
      <c r="D121" t="inlineStr">
        <is>
          <t>https://www.sec.gov/Archives/edgar/data/732717/000073271726000372/</t>
        </is>
      </c>
    </row>
    <row r="122">
      <c r="A122" t="inlineStr">
        <is>
          <t>F20</t>
        </is>
      </c>
      <c r="B122" t="inlineStr">
        <is>
          <t>net_income TTM to 2026-09-30</t>
        </is>
      </c>
      <c r="C122" s="50" t="n">
        <v>13135000000</v>
      </c>
    </row>
    <row r="123">
      <c r="A123" t="inlineStr">
        <is>
          <t>F21</t>
        </is>
      </c>
      <c r="B123" t="inlineStr">
        <is>
          <t>net_income quarter 2026-07-01 to 2026-09-30</t>
        </is>
      </c>
      <c r="C123" s="50" t="n">
        <v>891000000</v>
      </c>
      <c r="D123" t="inlineStr">
        <is>
          <t>https://www.sec.gov/Archives/edgar/data/732717/000073271726000372/</t>
        </is>
      </c>
    </row>
    <row r="124">
      <c r="A124" t="inlineStr">
        <is>
          <t>F22</t>
        </is>
      </c>
      <c r="B124" t="inlineStr">
        <is>
          <t>eps_diluted FY ending 2023-12-31 (us-gaap:EarningsPerShareDiluted)</t>
        </is>
      </c>
      <c r="C124" s="50" t="n">
        <v>1.97</v>
      </c>
      <c r="D124" t="inlineStr">
        <is>
          <t>https://www.sec.gov/Archives/edgar/data/732717/000073271726000120/</t>
        </is>
      </c>
    </row>
    <row r="125">
      <c r="A125" t="inlineStr">
        <is>
          <t>F23</t>
        </is>
      </c>
      <c r="B125" t="inlineStr">
        <is>
          <t>eps_diluted FY ending 2024-12-31 (us-gaap:EarningsPerShareDiluted)</t>
        </is>
      </c>
      <c r="C125" s="50" t="n">
        <v>1.49</v>
      </c>
      <c r="D125" t="inlineStr">
        <is>
          <t>https://www.sec.gov/Archives/edgar/data/732717/000073271726000120/</t>
        </is>
      </c>
    </row>
    <row r="126">
      <c r="A126" t="inlineStr">
        <is>
          <t>F24</t>
        </is>
      </c>
      <c r="B126" t="inlineStr">
        <is>
          <t>eps_diluted FY ending 2025-12-31 (us-gaap:EarningsPerShareDiluted)</t>
        </is>
      </c>
      <c r="C126" s="50" t="n">
        <v>3.04</v>
      </c>
      <c r="D126" t="inlineStr">
        <is>
          <t>https://www.sec.gov/Archives/edgar/data/732717/000073271726000120/</t>
        </is>
      </c>
    </row>
    <row r="127">
      <c r="A127" t="inlineStr">
        <is>
          <t>F25</t>
        </is>
      </c>
      <c r="B127" t="inlineStr">
        <is>
          <t>eps_diluted YTD 2026-01-01 to 2026-09-30</t>
        </is>
      </c>
      <c r="C127" s="50" t="n">
        <v>1.33</v>
      </c>
      <c r="D127" t="inlineStr">
        <is>
          <t>https://www.sec.gov/Archives/edgar/data/732717/000073271726000372/</t>
        </is>
      </c>
    </row>
    <row r="128">
      <c r="A128" t="inlineStr">
        <is>
          <t>F26</t>
        </is>
      </c>
      <c r="B128" t="inlineStr">
        <is>
          <t>eps_diluted prior-year YTD 2025-01-01 to 2025-09-30</t>
        </is>
      </c>
      <c r="C128" s="50" t="n">
        <v>2.51</v>
      </c>
      <c r="D128" t="inlineStr">
        <is>
          <t>https://www.sec.gov/Archives/edgar/data/732717/000073271726000372/</t>
        </is>
      </c>
    </row>
    <row r="129">
      <c r="A129" t="inlineStr">
        <is>
          <t>F27</t>
        </is>
      </c>
      <c r="B129" t="inlineStr">
        <is>
          <t>eps_diluted quarter 2026-07-01 to 2026-09-30</t>
        </is>
      </c>
      <c r="C129" s="50" t="n">
        <v>0.12</v>
      </c>
      <c r="D129" t="inlineStr">
        <is>
          <t>https://www.sec.gov/Archives/edgar/data/732717/000073271726000372/</t>
        </is>
      </c>
    </row>
    <row r="130">
      <c r="A130" t="inlineStr">
        <is>
          <t>F28</t>
        </is>
      </c>
      <c r="B130" t="inlineStr">
        <is>
          <t>diluted_shares_wavg FY ending 2023-12-31 (us-gaap:WeightedAverageNumberOfDilutedSharesOutstanding)</t>
        </is>
      </c>
      <c r="C130" s="50" t="n">
        <v>7258000000</v>
      </c>
      <c r="D130" t="inlineStr">
        <is>
          <t>https://www.sec.gov/Archives/edgar/data/732717/000073271726000120/</t>
        </is>
      </c>
    </row>
    <row r="131">
      <c r="A131" t="inlineStr">
        <is>
          <t>F29</t>
        </is>
      </c>
      <c r="B131" t="inlineStr">
        <is>
          <t>diluted_shares_wavg FY ending 2024-12-31 (us-gaap:WeightedAverageNumberOfDilutedSharesOutstanding)</t>
        </is>
      </c>
      <c r="C131" s="50" t="n">
        <v>7204000000</v>
      </c>
      <c r="D131" t="inlineStr">
        <is>
          <t>https://www.sec.gov/Archives/edgar/data/732717/000073271726000120/</t>
        </is>
      </c>
    </row>
    <row r="132">
      <c r="A132" t="inlineStr">
        <is>
          <t>F30</t>
        </is>
      </c>
      <c r="B132" t="inlineStr">
        <is>
          <t>diluted_shares_wavg FY ending 2025-12-31 (us-gaap:WeightedAverageNumberOfDilutedSharesOutstanding)</t>
        </is>
      </c>
      <c r="C132" s="50" t="n">
        <v>7179000000</v>
      </c>
      <c r="D132" t="inlineStr">
        <is>
          <t>https://www.sec.gov/Archives/edgar/data/732717/000073271726000120/</t>
        </is>
      </c>
    </row>
    <row r="133">
      <c r="A133" t="inlineStr">
        <is>
          <t>F31</t>
        </is>
      </c>
      <c r="B133" t="inlineStr">
        <is>
          <t>diluted_shares_wavg YTD 2026-01-01 to 2026-09-30</t>
        </is>
      </c>
      <c r="C133" s="50" t="n">
        <v>6938000000</v>
      </c>
      <c r="D133" t="inlineStr">
        <is>
          <t>https://www.sec.gov/Archives/edgar/data/732717/000073271726000372/</t>
        </is>
      </c>
    </row>
    <row r="134">
      <c r="A134" t="inlineStr">
        <is>
          <t>F32</t>
        </is>
      </c>
      <c r="B134" t="inlineStr">
        <is>
          <t>diluted_shares_wavg prior-year YTD 2025-01-01 to 2025-09-30</t>
        </is>
      </c>
      <c r="C134" s="50" t="n">
        <v>7203000000</v>
      </c>
      <c r="D134" t="inlineStr">
        <is>
          <t>https://www.sec.gov/Archives/edgar/data/732717/000073271726000372/</t>
        </is>
      </c>
    </row>
    <row r="135">
      <c r="A135" t="inlineStr">
        <is>
          <t>F33</t>
        </is>
      </c>
      <c r="B135" t="inlineStr">
        <is>
          <t>diluted_shares_wavg quarter 2026-07-01 to 2026-09-30</t>
        </is>
      </c>
      <c r="C135" s="50" t="n">
        <v>6844000000</v>
      </c>
      <c r="D135" t="inlineStr">
        <is>
          <t>https://www.sec.gov/Archives/edgar/data/732717/000073271726000372/</t>
        </is>
      </c>
    </row>
    <row r="136">
      <c r="A136" t="inlineStr">
        <is>
          <t>F34</t>
        </is>
      </c>
      <c r="B136" t="inlineStr">
        <is>
          <t>d_and_a FY ending 2023-12-31 (us-gaap:DepreciationDepletionAndAmortization)</t>
        </is>
      </c>
      <c r="C136" s="50" t="n">
        <v>18777000000</v>
      </c>
      <c r="D136" t="inlineStr">
        <is>
          <t>https://www.sec.gov/Archives/edgar/data/732717/000073271726000120/</t>
        </is>
      </c>
    </row>
    <row r="137">
      <c r="A137" t="inlineStr">
        <is>
          <t>F35</t>
        </is>
      </c>
      <c r="B137" t="inlineStr">
        <is>
          <t>d_and_a FY ending 2024-12-31 (us-gaap:DepreciationDepletionAndAmortization)</t>
        </is>
      </c>
      <c r="C137" s="50" t="n">
        <v>20580000000</v>
      </c>
      <c r="D137" t="inlineStr">
        <is>
          <t>https://www.sec.gov/Archives/edgar/data/732717/000073271726000120/</t>
        </is>
      </c>
    </row>
    <row r="138">
      <c r="A138" t="inlineStr">
        <is>
          <t>F36</t>
        </is>
      </c>
      <c r="B138" t="inlineStr">
        <is>
          <t>d_and_a FY ending 2025-12-31 (us-gaap:DepreciationDepletionAndAmortization)</t>
        </is>
      </c>
      <c r="C138" s="50" t="n">
        <v>20886000000</v>
      </c>
      <c r="D138" t="inlineStr">
        <is>
          <t>https://www.sec.gov/Archives/edgar/data/732717/000073271726000120/</t>
        </is>
      </c>
    </row>
    <row r="139">
      <c r="A139" t="inlineStr">
        <is>
          <t>F37</t>
        </is>
      </c>
      <c r="B139" t="inlineStr">
        <is>
          <t>d_and_a YTD 2026-01-01 to 2026-09-30</t>
        </is>
      </c>
      <c r="C139" s="50" t="n">
        <v>14910000000</v>
      </c>
      <c r="D139" t="inlineStr">
        <is>
          <t>https://www.sec.gov/Archives/edgar/data/732717/000073271726000372/</t>
        </is>
      </c>
    </row>
    <row r="140">
      <c r="A140" t="inlineStr">
        <is>
          <t>F38</t>
        </is>
      </c>
      <c r="B140" t="inlineStr">
        <is>
          <t>d_and_a prior-year YTD 2025-01-01 to 2025-09-30</t>
        </is>
      </c>
      <c r="C140" s="50" t="n">
        <v>15758000000</v>
      </c>
      <c r="D140" t="inlineStr">
        <is>
          <t>https://www.sec.gov/Archives/edgar/data/732717/000073271726000372/</t>
        </is>
      </c>
    </row>
    <row r="141">
      <c r="A141" t="inlineStr">
        <is>
          <t>F39</t>
        </is>
      </c>
      <c r="B141" t="inlineStr">
        <is>
          <t>d_and_a TTM to 2026-09-30</t>
        </is>
      </c>
      <c r="C141" s="50" t="n">
        <v>20038000000</v>
      </c>
    </row>
    <row r="142">
      <c r="A142" t="inlineStr">
        <is>
          <t>F40</t>
        </is>
      </c>
      <c r="B142" t="inlineStr">
        <is>
          <t>d_and_a quarter 2026-07-01 to 2026-09-30</t>
        </is>
      </c>
      <c r="C142" s="50" t="n">
        <v>4978000000</v>
      </c>
      <c r="D142" t="inlineStr">
        <is>
          <t>https://www.sec.gov/Archives/edgar/data/732717/000073271726000372/</t>
        </is>
      </c>
    </row>
    <row r="143">
      <c r="A143" t="inlineStr">
        <is>
          <t>F41</t>
        </is>
      </c>
      <c r="B143" t="inlineStr">
        <is>
          <t>sbc FY ending 2023-12-31 (us-gaap:AllocatedShareBasedCompensationExpense)</t>
        </is>
      </c>
      <c r="C143" s="50" t="n">
        <v>479000000</v>
      </c>
      <c r="D143" t="inlineStr">
        <is>
          <t>https://www.sec.gov/Archives/edgar/data/732717/000073271726000120/</t>
        </is>
      </c>
    </row>
    <row r="144">
      <c r="A144" t="inlineStr">
        <is>
          <t>F42</t>
        </is>
      </c>
      <c r="B144" t="inlineStr">
        <is>
          <t>sbc FY ending 2024-12-31 (us-gaap:AllocatedShareBasedCompensationExpense)</t>
        </is>
      </c>
      <c r="C144" s="50" t="n">
        <v>505000000</v>
      </c>
      <c r="D144" t="inlineStr">
        <is>
          <t>https://www.sec.gov/Archives/edgar/data/732717/000073271726000120/</t>
        </is>
      </c>
    </row>
    <row r="145">
      <c r="A145" t="inlineStr">
        <is>
          <t>F43</t>
        </is>
      </c>
      <c r="B145" t="inlineStr">
        <is>
          <t>sbc FY ending 2025-12-31 (us-gaap:AllocatedShareBasedCompensationExpense)</t>
        </is>
      </c>
      <c r="C145" s="50" t="n">
        <v>536000000</v>
      </c>
      <c r="D145" t="inlineStr">
        <is>
          <t>https://www.sec.gov/Archives/edgar/data/732717/000073271726000120/</t>
        </is>
      </c>
    </row>
    <row r="146">
      <c r="A146" t="inlineStr">
        <is>
          <t>F44</t>
        </is>
      </c>
      <c r="B146" t="inlineStr">
        <is>
          <t>sbc TTM to 2025-12-31 (latest filing is the annual report)</t>
        </is>
      </c>
      <c r="C146" s="50" t="n">
        <v>536000000</v>
      </c>
    </row>
    <row r="147">
      <c r="A147" t="inlineStr">
        <is>
          <t>F45</t>
        </is>
      </c>
      <c r="B147" t="inlineStr">
        <is>
          <t>cfo FY ending 2023-12-31 (us-gaap:NetCashProvidedByUsedInOperatingActivities)</t>
        </is>
      </c>
      <c r="C147" s="50" t="n">
        <v>38314000000</v>
      </c>
      <c r="D147" t="inlineStr">
        <is>
          <t>https://www.sec.gov/Archives/edgar/data/732717/000073271726000120/</t>
        </is>
      </c>
    </row>
    <row r="148">
      <c r="A148" t="inlineStr">
        <is>
          <t>F46</t>
        </is>
      </c>
      <c r="B148" t="inlineStr">
        <is>
          <t>cfo FY ending 2024-12-31 (us-gaap:NetCashProvidedByUsedInOperatingActivities)</t>
        </is>
      </c>
      <c r="C148" s="50" t="n">
        <v>38771000000</v>
      </c>
      <c r="D148" t="inlineStr">
        <is>
          <t>https://www.sec.gov/Archives/edgar/data/732717/000073271726000120/</t>
        </is>
      </c>
    </row>
    <row r="149">
      <c r="A149" t="inlineStr">
        <is>
          <t>F47</t>
        </is>
      </c>
      <c r="B149" t="inlineStr">
        <is>
          <t>cfo FY ending 2025-12-31 (us-gaap:NetCashProvidedByUsedInOperatingActivities)</t>
        </is>
      </c>
      <c r="C149" s="50" t="n">
        <v>40284000000</v>
      </c>
      <c r="D149" t="inlineStr">
        <is>
          <t>https://www.sec.gov/Archives/edgar/data/732717/000073271726000120/</t>
        </is>
      </c>
    </row>
    <row r="150">
      <c r="A150" t="inlineStr">
        <is>
          <t>F48</t>
        </is>
      </c>
      <c r="B150" t="inlineStr">
        <is>
          <t>cfo TTM to 2025-12-31 (latest filing is the annual report)</t>
        </is>
      </c>
      <c r="C150" s="50" t="n">
        <v>40284000000</v>
      </c>
    </row>
    <row r="151">
      <c r="A151" t="inlineStr">
        <is>
          <t>F49</t>
        </is>
      </c>
      <c r="B151" t="inlineStr">
        <is>
          <t>capex FY ending 2023-12-31 (us-gaap:PaymentsToAcquireProductiveAssets)</t>
        </is>
      </c>
      <c r="C151" s="50" t="n">
        <v>17853000000</v>
      </c>
      <c r="D151" t="inlineStr">
        <is>
          <t>https://www.sec.gov/Archives/edgar/data/732717/000073271726000120/</t>
        </is>
      </c>
    </row>
    <row r="152">
      <c r="A152" t="inlineStr">
        <is>
          <t>F50</t>
        </is>
      </c>
      <c r="B152" t="inlineStr">
        <is>
          <t>capex FY ending 2024-12-31 (us-gaap:PaymentsToAcquireProductiveAssets)</t>
        </is>
      </c>
      <c r="C152" s="50" t="n">
        <v>20263000000</v>
      </c>
      <c r="D152" t="inlineStr">
        <is>
          <t>https://www.sec.gov/Archives/edgar/data/732717/000073271726000120/</t>
        </is>
      </c>
    </row>
    <row r="153">
      <c r="A153" t="inlineStr">
        <is>
          <t>F51</t>
        </is>
      </c>
      <c r="B153" t="inlineStr">
        <is>
          <t>capex FY ending 2025-12-31 (us-gaap:PaymentsToAcquireProductiveAssets)</t>
        </is>
      </c>
      <c r="C153" s="50" t="n">
        <v>20842000000</v>
      </c>
      <c r="D153" t="inlineStr">
        <is>
          <t>https://www.sec.gov/Archives/edgar/data/732717/000073271726000120/</t>
        </is>
      </c>
    </row>
    <row r="154">
      <c r="A154" t="inlineStr">
        <is>
          <t>F52</t>
        </is>
      </c>
      <c r="B154" t="inlineStr">
        <is>
          <t>capex YTD 2026-01-01 to 2026-09-30</t>
        </is>
      </c>
      <c r="C154" s="50" t="n">
        <v>15638000000</v>
      </c>
      <c r="D154" t="inlineStr">
        <is>
          <t>https://www.sec.gov/Archives/edgar/data/732717/000073271726000372/</t>
        </is>
      </c>
    </row>
    <row r="155">
      <c r="A155" t="inlineStr">
        <is>
          <t>F53</t>
        </is>
      </c>
      <c r="B155" t="inlineStr">
        <is>
          <t>capex prior-year YTD 2025-01-01 to 2025-09-30</t>
        </is>
      </c>
      <c r="C155" s="50" t="n">
        <v>14061000000</v>
      </c>
      <c r="D155" t="inlineStr">
        <is>
          <t>https://www.sec.gov/Archives/edgar/data/732717/000073271726000372/</t>
        </is>
      </c>
    </row>
    <row r="156">
      <c r="A156" t="inlineStr">
        <is>
          <t>F54</t>
        </is>
      </c>
      <c r="B156" t="inlineStr">
        <is>
          <t>capex TTM to 2026-09-30</t>
        </is>
      </c>
      <c r="C156" s="50" t="n">
        <v>22419000000</v>
      </c>
    </row>
    <row r="157">
      <c r="A157" t="inlineStr">
        <is>
          <t>F55</t>
        </is>
      </c>
      <c r="B157" t="inlineStr">
        <is>
          <t>capex quarter 2026-01-01 to 2026-03-31</t>
        </is>
      </c>
      <c r="C157" s="50" t="n">
        <v>4877000000</v>
      </c>
      <c r="D157" t="inlineStr">
        <is>
          <t>https://www.sec.gov/Archives/edgar/data/732717/000073271726000206/</t>
        </is>
      </c>
    </row>
    <row r="158">
      <c r="A158" t="inlineStr">
        <is>
          <t>F56</t>
        </is>
      </c>
      <c r="B158" t="inlineStr">
        <is>
          <t>buybacks FY ending 2023-12-31 (us-gaap:PaymentsForRepurchaseOfCommonStock)</t>
        </is>
      </c>
      <c r="C158" s="50" t="n">
        <v>194000000</v>
      </c>
      <c r="D158" t="inlineStr">
        <is>
          <t>https://www.sec.gov/Archives/edgar/data/732717/000073271726000120/</t>
        </is>
      </c>
    </row>
    <row r="159">
      <c r="A159" t="inlineStr">
        <is>
          <t>F57</t>
        </is>
      </c>
      <c r="B159" t="inlineStr">
        <is>
          <t>buybacks FY ending 2024-12-31 (us-gaap:PaymentsForRepurchaseOfCommonStock)</t>
        </is>
      </c>
      <c r="C159" s="50" t="n">
        <v>215000000</v>
      </c>
      <c r="D159" t="inlineStr">
        <is>
          <t>https://www.sec.gov/Archives/edgar/data/732717/000073271726000120/</t>
        </is>
      </c>
    </row>
    <row r="160">
      <c r="A160" t="inlineStr">
        <is>
          <t>F58</t>
        </is>
      </c>
      <c r="B160" t="inlineStr">
        <is>
          <t>buybacks FY ending 2025-12-31 (us-gaap:PaymentsForRepurchaseOfCommonStock)</t>
        </is>
      </c>
      <c r="C160" s="50" t="n">
        <v>4500000000</v>
      </c>
      <c r="D160" t="inlineStr">
        <is>
          <t>https://www.sec.gov/Archives/edgar/data/732717/000073271726000120/</t>
        </is>
      </c>
    </row>
    <row r="161">
      <c r="A161" t="inlineStr">
        <is>
          <t>F59</t>
        </is>
      </c>
      <c r="B161" t="inlineStr">
        <is>
          <t>buybacks YTD 2026-01-01 to 2026-09-30</t>
        </is>
      </c>
      <c r="C161" s="50" t="n">
        <v>7472000000</v>
      </c>
      <c r="D161" t="inlineStr">
        <is>
          <t>https://www.sec.gov/Archives/edgar/data/732717/000073271726000372/</t>
        </is>
      </c>
    </row>
    <row r="162">
      <c r="A162" t="inlineStr">
        <is>
          <t>F60</t>
        </is>
      </c>
      <c r="B162" t="inlineStr">
        <is>
          <t>buybacks prior-year YTD 2025-01-01 to 2025-09-30</t>
        </is>
      </c>
      <c r="C162" s="50" t="n">
        <v>2669000000</v>
      </c>
      <c r="D162" t="inlineStr">
        <is>
          <t>https://www.sec.gov/Archives/edgar/data/732717/000073271726000372/</t>
        </is>
      </c>
    </row>
    <row r="163">
      <c r="A163" t="inlineStr">
        <is>
          <t>F61</t>
        </is>
      </c>
      <c r="B163" t="inlineStr">
        <is>
          <t>buybacks TTM to 2026-09-30</t>
        </is>
      </c>
      <c r="C163" s="50" t="n">
        <v>9303000000</v>
      </c>
    </row>
    <row r="164">
      <c r="A164" t="inlineStr">
        <is>
          <t>F62</t>
        </is>
      </c>
      <c r="B164" t="inlineStr">
        <is>
          <t>buybacks quarter 2026-01-01 to 2026-03-31</t>
        </is>
      </c>
      <c r="C164" s="50" t="n">
        <v>2475000000</v>
      </c>
      <c r="D164" t="inlineStr">
        <is>
          <t>https://www.sec.gov/Archives/edgar/data/732717/000073271726000206/</t>
        </is>
      </c>
    </row>
    <row r="165">
      <c r="A165" t="inlineStr">
        <is>
          <t>F63</t>
        </is>
      </c>
      <c r="B165" t="inlineStr">
        <is>
          <t>dividends_paid FY ending 2023-12-31 (us-gaap:PaymentsOfDividendsCommonStock)</t>
        </is>
      </c>
      <c r="C165" s="50" t="n">
        <v>8136000000</v>
      </c>
      <c r="D165" t="inlineStr">
        <is>
          <t>https://www.sec.gov/Archives/edgar/data/732717/000073271726000120/</t>
        </is>
      </c>
    </row>
    <row r="166">
      <c r="A166" t="inlineStr">
        <is>
          <t>F64</t>
        </is>
      </c>
      <c r="B166" t="inlineStr">
        <is>
          <t>dividends_paid FY ending 2024-12-31 (us-gaap:PaymentsOfDividendsCommonStock)</t>
        </is>
      </c>
      <c r="C166" s="50" t="n">
        <v>8208000000</v>
      </c>
      <c r="D166" t="inlineStr">
        <is>
          <t>https://www.sec.gov/Archives/edgar/data/732717/000073271726000120/</t>
        </is>
      </c>
    </row>
    <row r="167">
      <c r="A167" t="inlineStr">
        <is>
          <t>F65</t>
        </is>
      </c>
      <c r="B167" t="inlineStr">
        <is>
          <t>dividends_paid FY ending 2025-12-31 (us-gaap:PaymentsOfDividendsCommonStock)</t>
        </is>
      </c>
      <c r="C167" s="50" t="n">
        <v>8180000000</v>
      </c>
      <c r="D167" t="inlineStr">
        <is>
          <t>https://www.sec.gov/Archives/edgar/data/732717/000073271726000120/</t>
        </is>
      </c>
    </row>
    <row r="168">
      <c r="A168" t="inlineStr">
        <is>
          <t>F66</t>
        </is>
      </c>
      <c r="B168" t="inlineStr">
        <is>
          <t>dividends_paid YTD 2026-01-01 to 2026-09-30</t>
        </is>
      </c>
      <c r="C168" s="50" t="n">
        <v>5923000000</v>
      </c>
      <c r="D168" t="inlineStr">
        <is>
          <t>https://www.sec.gov/Archives/edgar/data/732717/000073271726000372/</t>
        </is>
      </c>
    </row>
    <row r="169">
      <c r="A169" t="inlineStr">
        <is>
          <t>F67</t>
        </is>
      </c>
      <c r="B169" t="inlineStr">
        <is>
          <t>dividends_paid prior-year YTD 2025-01-01 to 2025-09-30</t>
        </is>
      </c>
      <c r="C169" s="50" t="n">
        <v>6168000000</v>
      </c>
      <c r="D169" t="inlineStr">
        <is>
          <t>https://www.sec.gov/Archives/edgar/data/732717/000073271726000372/</t>
        </is>
      </c>
    </row>
    <row r="170">
      <c r="A170" t="inlineStr">
        <is>
          <t>F68</t>
        </is>
      </c>
      <c r="B170" t="inlineStr">
        <is>
          <t>dividends_paid TTM to 2026-09-30</t>
        </is>
      </c>
      <c r="C170" s="50" t="n">
        <v>7935000000</v>
      </c>
    </row>
    <row r="171">
      <c r="A171" t="inlineStr">
        <is>
          <t>F69</t>
        </is>
      </c>
      <c r="B171" t="inlineStr">
        <is>
          <t>dividends_paid quarter 2026-01-01 to 2026-03-31</t>
        </is>
      </c>
      <c r="C171" s="50" t="n">
        <v>1997000000</v>
      </c>
      <c r="D171" t="inlineStr">
        <is>
          <t>https://www.sec.gov/Archives/edgar/data/732717/000073271726000206/</t>
        </is>
      </c>
    </row>
    <row r="172">
      <c r="A172" t="inlineStr">
        <is>
          <t>F70</t>
        </is>
      </c>
      <c r="B172" t="inlineStr">
        <is>
          <t>interest_expense FY ending 2023-12-31 (us-gaap:InterestExpenseNonoperating)</t>
        </is>
      </c>
      <c r="C172" s="50" t="n">
        <v>6704000000</v>
      </c>
      <c r="D172" t="inlineStr">
        <is>
          <t>https://www.sec.gov/Archives/edgar/data/732717/000073271726000120/</t>
        </is>
      </c>
    </row>
    <row r="173">
      <c r="A173" t="inlineStr">
        <is>
          <t>F71</t>
        </is>
      </c>
      <c r="B173" t="inlineStr">
        <is>
          <t>interest_expense FY ending 2024-12-31 (us-gaap:InterestExpenseNonoperating)</t>
        </is>
      </c>
      <c r="C173" s="50" t="n">
        <v>6759000000</v>
      </c>
      <c r="D173" t="inlineStr">
        <is>
          <t>https://www.sec.gov/Archives/edgar/data/732717/000073271726000120/</t>
        </is>
      </c>
    </row>
    <row r="174">
      <c r="A174" t="inlineStr">
        <is>
          <t>F72</t>
        </is>
      </c>
      <c r="B174" t="inlineStr">
        <is>
          <t>interest_expense FY ending 2025-12-31 (us-gaap:InterestExpenseNonoperating)</t>
        </is>
      </c>
      <c r="C174" s="50" t="n">
        <v>6804000000</v>
      </c>
      <c r="D174" t="inlineStr">
        <is>
          <t>https://www.sec.gov/Archives/edgar/data/732717/000073271726000120/</t>
        </is>
      </c>
    </row>
    <row r="175">
      <c r="A175" t="inlineStr">
        <is>
          <t>F73</t>
        </is>
      </c>
      <c r="B175" t="inlineStr">
        <is>
          <t>interest_expense YTD 2026-01-01 to 2026-09-30</t>
        </is>
      </c>
      <c r="C175" s="50" t="n">
        <v>5675000000</v>
      </c>
      <c r="D175" t="inlineStr">
        <is>
          <t>https://www.sec.gov/Archives/edgar/data/732717/000073271726000372/</t>
        </is>
      </c>
    </row>
    <row r="176">
      <c r="A176" t="inlineStr">
        <is>
          <t>F74</t>
        </is>
      </c>
      <c r="B176" t="inlineStr">
        <is>
          <t>interest_expense prior-year YTD 2025-01-01 to 2025-09-30</t>
        </is>
      </c>
      <c r="C176" s="50" t="n">
        <v>5013000000</v>
      </c>
      <c r="D176" t="inlineStr">
        <is>
          <t>https://www.sec.gov/Archives/edgar/data/732717/000073271726000372/</t>
        </is>
      </c>
    </row>
    <row r="177">
      <c r="A177" t="inlineStr">
        <is>
          <t>F75</t>
        </is>
      </c>
      <c r="B177" t="inlineStr">
        <is>
          <t>interest_expense TTM to 2026-09-30</t>
        </is>
      </c>
      <c r="C177" s="50" t="n">
        <v>7466000000</v>
      </c>
    </row>
    <row r="178">
      <c r="A178" t="inlineStr">
        <is>
          <t>F76</t>
        </is>
      </c>
      <c r="B178" t="inlineStr">
        <is>
          <t>interest_expense quarter 2026-07-01 to 2026-09-30</t>
        </is>
      </c>
      <c r="C178" s="50" t="n">
        <v>1979000000</v>
      </c>
      <c r="D178" t="inlineStr">
        <is>
          <t>https://www.sec.gov/Archives/edgar/data/732717/000073271726000372/</t>
        </is>
      </c>
    </row>
    <row r="179">
      <c r="A179" t="inlineStr">
        <is>
          <t>F77</t>
        </is>
      </c>
      <c r="B179" t="inlineStr">
        <is>
          <t>income_tax FY ending 2023-12-31 (us-gaap:IncomeTaxExpenseBenefit)</t>
        </is>
      </c>
      <c r="C179" s="50" t="n">
        <v>4225000000</v>
      </c>
      <c r="D179" t="inlineStr">
        <is>
          <t>https://www.sec.gov/Archives/edgar/data/732717/000073271726000120/</t>
        </is>
      </c>
    </row>
    <row r="180">
      <c r="A180" t="inlineStr">
        <is>
          <t>F78</t>
        </is>
      </c>
      <c r="B180" t="inlineStr">
        <is>
          <t>income_tax FY ending 2024-12-31 (us-gaap:IncomeTaxExpenseBenefit)</t>
        </is>
      </c>
      <c r="C180" s="50" t="n">
        <v>4445000000</v>
      </c>
      <c r="D180" t="inlineStr">
        <is>
          <t>https://www.sec.gov/Archives/edgar/data/732717/000073271726000120/</t>
        </is>
      </c>
    </row>
    <row r="181">
      <c r="A181" t="inlineStr">
        <is>
          <t>F79</t>
        </is>
      </c>
      <c r="B181" t="inlineStr">
        <is>
          <t>income_tax FY ending 2025-12-31 (us-gaap:IncomeTaxExpenseBenefit)</t>
        </is>
      </c>
      <c r="C181" s="50" t="n">
        <v>3621000000</v>
      </c>
      <c r="D181" t="inlineStr">
        <is>
          <t>https://www.sec.gov/Archives/edgar/data/732717/000073271726000120/</t>
        </is>
      </c>
    </row>
    <row r="182">
      <c r="A182" t="inlineStr">
        <is>
          <t>F80</t>
        </is>
      </c>
      <c r="B182" t="inlineStr">
        <is>
          <t>income_tax YTD 2026-01-01 to 2026-09-30</t>
        </is>
      </c>
      <c r="C182" s="50" t="n">
        <v>3353000000</v>
      </c>
      <c r="D182" t="inlineStr">
        <is>
          <t>https://www.sec.gov/Archives/edgar/data/732717/000073271726000372/</t>
        </is>
      </c>
    </row>
    <row r="183">
      <c r="A183" t="inlineStr">
        <is>
          <t>F81</t>
        </is>
      </c>
      <c r="B183" t="inlineStr">
        <is>
          <t>income_tax prior-year YTD 2025-01-01 to 2025-09-30</t>
        </is>
      </c>
      <c r="C183" s="50" t="n">
        <v>3512000000</v>
      </c>
      <c r="D183" t="inlineStr">
        <is>
          <t>https://www.sec.gov/Archives/edgar/data/732717/000073271726000372/</t>
        </is>
      </c>
    </row>
    <row r="184">
      <c r="A184" t="inlineStr">
        <is>
          <t>F82</t>
        </is>
      </c>
      <c r="B184" t="inlineStr">
        <is>
          <t>income_tax TTM to 2026-09-30</t>
        </is>
      </c>
      <c r="C184" s="50" t="n">
        <v>3462000000</v>
      </c>
    </row>
    <row r="185">
      <c r="A185" t="inlineStr">
        <is>
          <t>F83</t>
        </is>
      </c>
      <c r="B185" t="inlineStr">
        <is>
          <t>income_tax quarter 2026-07-01 to 2026-09-30</t>
        </is>
      </c>
      <c r="C185" s="50" t="n">
        <v>1390000000</v>
      </c>
      <c r="D185" t="inlineStr">
        <is>
          <t>https://www.sec.gov/Archives/edgar/data/732717/000073271726000372/</t>
        </is>
      </c>
    </row>
    <row r="186">
      <c r="A186" t="inlineStr">
        <is>
          <t>F84</t>
        </is>
      </c>
      <c r="B186" t="inlineStr">
        <is>
          <t>pretax_income FY ending 2023-12-31 (us-gaap:IncomeLossFromContinuingOperationsBeforeIncomeTaxesExtraordinaryItemsNoncontrollingInterest)</t>
        </is>
      </c>
      <c r="C186" s="50" t="n">
        <v>19848000000</v>
      </c>
      <c r="D186" t="inlineStr">
        <is>
          <t>https://www.sec.gov/Archives/edgar/data/732717/000073271726000120/</t>
        </is>
      </c>
    </row>
    <row r="187">
      <c r="A187" t="inlineStr">
        <is>
          <t>F85</t>
        </is>
      </c>
      <c r="B187" t="inlineStr">
        <is>
          <t>pretax_income FY ending 2024-12-31 (us-gaap:IncomeLossFromContinuingOperationsBeforeIncomeTaxesExtraordinaryItemsNoncontrollingInterest)</t>
        </is>
      </c>
      <c r="C187" s="50" t="n">
        <v>16698000000</v>
      </c>
      <c r="D187" t="inlineStr">
        <is>
          <t>https://www.sec.gov/Archives/edgar/data/732717/000073271726000120/</t>
        </is>
      </c>
    </row>
    <row r="188">
      <c r="A188" t="inlineStr">
        <is>
          <t>F86</t>
        </is>
      </c>
      <c r="B188" t="inlineStr">
        <is>
          <t>pretax_income FY ending 2025-12-31 (us-gaap:IncomeLossFromContinuingOperationsBeforeIncomeTaxesExtraordinaryItemsNoncontrollingInterest)</t>
        </is>
      </c>
      <c r="C188" s="50" t="n">
        <v>27007000000</v>
      </c>
      <c r="D188" t="inlineStr">
        <is>
          <t>https://www.sec.gov/Archives/edgar/data/732717/000073271726000120/</t>
        </is>
      </c>
    </row>
    <row r="189">
      <c r="A189" t="inlineStr">
        <is>
          <t>F87</t>
        </is>
      </c>
      <c r="B189" t="inlineStr">
        <is>
          <t>pretax_income YTD 2026-01-01 to 2026-09-30</t>
        </is>
      </c>
      <c r="C189" s="50" t="n">
        <v>13916000000</v>
      </c>
      <c r="D189" t="inlineStr">
        <is>
          <t>https://www.sec.gov/Archives/edgar/data/732717/000073271726000372/</t>
        </is>
      </c>
    </row>
    <row r="190">
      <c r="A190" t="inlineStr">
        <is>
          <t>F88</t>
        </is>
      </c>
      <c r="B190" t="inlineStr">
        <is>
          <t>pretax_income prior-year YTD 2025-01-01 to 2025-09-30</t>
        </is>
      </c>
      <c r="C190" s="50" t="n">
        <v>22742000000</v>
      </c>
      <c r="D190" t="inlineStr">
        <is>
          <t>https://www.sec.gov/Archives/edgar/data/732717/000073271726000372/</t>
        </is>
      </c>
    </row>
    <row r="191">
      <c r="A191" t="inlineStr">
        <is>
          <t>F89</t>
        </is>
      </c>
      <c r="B191" t="inlineStr">
        <is>
          <t>pretax_income TTM to 2026-09-30</t>
        </is>
      </c>
      <c r="C191" s="50" t="n">
        <v>18181000000</v>
      </c>
    </row>
    <row r="192">
      <c r="A192" t="inlineStr">
        <is>
          <t>F90</t>
        </is>
      </c>
      <c r="B192" t="inlineStr">
        <is>
          <t>pretax_income quarter 2026-07-01 to 2026-09-30</t>
        </is>
      </c>
      <c r="C192" s="50" t="n">
        <v>2696000000</v>
      </c>
      <c r="D192" t="inlineStr">
        <is>
          <t>https://www.sec.gov/Archives/edgar/data/732717/000073271726000372/</t>
        </is>
      </c>
    </row>
    <row r="193">
      <c r="A193" t="inlineStr">
        <is>
          <t>F91</t>
        </is>
      </c>
      <c r="B193" t="inlineStr">
        <is>
          <t>cash at 2026-09-30 (us-gaap:CashAndCashEquivalentsAtCarryingValue)</t>
        </is>
      </c>
      <c r="C193" s="50" t="n">
        <v>10767000000</v>
      </c>
      <c r="D193" t="inlineStr">
        <is>
          <t>https://www.sec.gov/Archives/edgar/data/732717/000073271726000372/</t>
        </is>
      </c>
    </row>
    <row r="194">
      <c r="A194" t="inlineStr">
        <is>
          <t>F92</t>
        </is>
      </c>
      <c r="B194" t="inlineStr">
        <is>
          <t>debt_noncurrent at 2026-09-30 (us-gaap:LongTermDebtAndCapitalLeaseObligations)</t>
        </is>
      </c>
      <c r="C194" s="50" t="n">
        <v>150144000000</v>
      </c>
      <c r="D194" t="inlineStr">
        <is>
          <t>https://www.sec.gov/Archives/edgar/data/732717/000073271726000372/</t>
        </is>
      </c>
    </row>
    <row r="195">
      <c r="A195" t="inlineStr">
        <is>
          <t>F93</t>
        </is>
      </c>
      <c r="B195" t="inlineStr">
        <is>
          <t>debt_current at 2026-09-30 (us-gaap:DebtCurrent)</t>
        </is>
      </c>
      <c r="C195" s="50" t="n">
        <v>9483000000</v>
      </c>
      <c r="D195" t="inlineStr">
        <is>
          <t>https://www.sec.gov/Archives/edgar/data/732717/000073271726000372/</t>
        </is>
      </c>
    </row>
    <row r="196">
      <c r="A196" t="inlineStr">
        <is>
          <t>F94</t>
        </is>
      </c>
      <c r="B196" t="inlineStr">
        <is>
          <t>shares outstanding (cover page, 1 class(es)) as of 2026-10-15</t>
        </is>
      </c>
      <c r="C196" s="50" t="n">
        <v>6736473433</v>
      </c>
      <c r="D196" t="inlineStr">
        <is>
          <t>https://www.sec.gov/Archives/edgar/data/732717/000073271726000372/</t>
        </is>
      </c>
    </row>
    <row r="197">
      <c r="A197" t="inlineStr">
        <is>
          <t>F95</t>
        </is>
      </c>
      <c r="B197" t="inlineStr">
        <is>
          <t>total debt (XBRL tags; excludes leases unless tagged in; check the balance sheet)</t>
        </is>
      </c>
      <c r="C197" s="50" t="n">
        <v>159627000000</v>
      </c>
    </row>
    <row r="198">
      <c r="A198" t="inlineStr">
        <is>
          <t>F96</t>
        </is>
      </c>
      <c r="B198" t="inlineStr">
        <is>
          <t>net debt = debt - cash - short-term investments</t>
        </is>
      </c>
      <c r="C198" s="50" t="n">
        <v>148860000000</v>
      </c>
    </row>
    <row r="199">
      <c r="A199" t="inlineStr">
        <is>
          <t>F97</t>
        </is>
      </c>
      <c r="B199" t="inlineStr">
        <is>
          <t>EBITDA TTM (GAAP operating income + D&amp;A; not the company's adjusted EBITDA)</t>
        </is>
      </c>
      <c r="C199" s="50" t="n">
        <v>43617000000</v>
      </c>
    </row>
    <row r="200">
      <c r="A200" t="inlineStr">
        <is>
          <t>F98</t>
        </is>
      </c>
      <c r="B200" t="inlineStr">
        <is>
          <t>free cash flow TTM = operating cash flow - capex (before SBC adjustment)</t>
        </is>
      </c>
      <c r="C200" s="50" t="n">
        <v>17865000000</v>
      </c>
    </row>
    <row r="201">
      <c r="A201" t="inlineStr">
        <is>
          <t>F99</t>
        </is>
      </c>
      <c r="B201" t="inlineStr">
        <is>
          <t>diluted EPS TTM approx = net income TTM / latest quarter diluted shares</t>
        </is>
      </c>
      <c r="C201" s="50" t="n">
        <v>1.919199298655757</v>
      </c>
    </row>
  </sheetData>
  <hyperlinks>
    <hyperlink xmlns:r="http://schemas.openxmlformats.org/officeDocument/2006/relationships" ref="D30" r:id="rId1"/>
    <hyperlink xmlns:r="http://schemas.openxmlformats.org/officeDocument/2006/relationships" ref="D31" r:id="rId2"/>
    <hyperlink xmlns:r="http://schemas.openxmlformats.org/officeDocument/2006/relationships" ref="D32" r:id="rId3"/>
    <hyperlink xmlns:r="http://schemas.openxmlformats.org/officeDocument/2006/relationships" ref="D33" r:id="rId4"/>
    <hyperlink xmlns:r="http://schemas.openxmlformats.org/officeDocument/2006/relationships" ref="D34" r:id="rId5"/>
    <hyperlink xmlns:r="http://schemas.openxmlformats.org/officeDocument/2006/relationships" ref="D35" r:id="rId6"/>
    <hyperlink xmlns:r="http://schemas.openxmlformats.org/officeDocument/2006/relationships" ref="D36" r:id="rId7"/>
    <hyperlink xmlns:r="http://schemas.openxmlformats.org/officeDocument/2006/relationships" ref="D37" r:id="rId8"/>
    <hyperlink xmlns:r="http://schemas.openxmlformats.org/officeDocument/2006/relationships" ref="D38" r:id="rId9"/>
    <hyperlink xmlns:r="http://schemas.openxmlformats.org/officeDocument/2006/relationships" ref="D39" r:id="rId10"/>
    <hyperlink xmlns:r="http://schemas.openxmlformats.org/officeDocument/2006/relationships" ref="D40" r:id="rId11"/>
    <hyperlink xmlns:r="http://schemas.openxmlformats.org/officeDocument/2006/relationships" ref="D41" r:id="rId12"/>
    <hyperlink xmlns:r="http://schemas.openxmlformats.org/officeDocument/2006/relationships" ref="D42" r:id="rId13"/>
    <hyperlink xmlns:r="http://schemas.openxmlformats.org/officeDocument/2006/relationships" ref="D43" r:id="rId14"/>
    <hyperlink xmlns:r="http://schemas.openxmlformats.org/officeDocument/2006/relationships" ref="D44" r:id="rId15"/>
    <hyperlink xmlns:r="http://schemas.openxmlformats.org/officeDocument/2006/relationships" ref="D45" r:id="rId16"/>
    <hyperlink xmlns:r="http://schemas.openxmlformats.org/officeDocument/2006/relationships" ref="D46" r:id="rId17"/>
    <hyperlink xmlns:r="http://schemas.openxmlformats.org/officeDocument/2006/relationships" ref="D47" r:id="rId18"/>
    <hyperlink xmlns:r="http://schemas.openxmlformats.org/officeDocument/2006/relationships" ref="D48" r:id="rId19"/>
    <hyperlink xmlns:r="http://schemas.openxmlformats.org/officeDocument/2006/relationships" ref="D49" r:id="rId20"/>
    <hyperlink xmlns:r="http://schemas.openxmlformats.org/officeDocument/2006/relationships" ref="D50" r:id="rId21"/>
    <hyperlink xmlns:r="http://schemas.openxmlformats.org/officeDocument/2006/relationships" ref="D51" r:id="rId22"/>
    <hyperlink xmlns:r="http://schemas.openxmlformats.org/officeDocument/2006/relationships" ref="D52" r:id="rId23"/>
    <hyperlink xmlns:r="http://schemas.openxmlformats.org/officeDocument/2006/relationships" ref="D53" r:id="rId24"/>
    <hyperlink xmlns:r="http://schemas.openxmlformats.org/officeDocument/2006/relationships" ref="D54" r:id="rId25"/>
    <hyperlink xmlns:r="http://schemas.openxmlformats.org/officeDocument/2006/relationships" ref="D55" r:id="rId26"/>
    <hyperlink xmlns:r="http://schemas.openxmlformats.org/officeDocument/2006/relationships" ref="D56" r:id="rId27"/>
    <hyperlink xmlns:r="http://schemas.openxmlformats.org/officeDocument/2006/relationships" ref="D57" r:id="rId28"/>
    <hyperlink xmlns:r="http://schemas.openxmlformats.org/officeDocument/2006/relationships" ref="D58" r:id="rId29"/>
    <hyperlink xmlns:r="http://schemas.openxmlformats.org/officeDocument/2006/relationships" ref="D59" r:id="rId30"/>
    <hyperlink xmlns:r="http://schemas.openxmlformats.org/officeDocument/2006/relationships" ref="D60" r:id="rId31"/>
    <hyperlink xmlns:r="http://schemas.openxmlformats.org/officeDocument/2006/relationships" ref="D61" r:id="rId32"/>
    <hyperlink xmlns:r="http://schemas.openxmlformats.org/officeDocument/2006/relationships" ref="D62" r:id="rId33"/>
    <hyperlink xmlns:r="http://schemas.openxmlformats.org/officeDocument/2006/relationships" ref="D63" r:id="rId34"/>
    <hyperlink xmlns:r="http://schemas.openxmlformats.org/officeDocument/2006/relationships" ref="D64" r:id="rId35"/>
    <hyperlink xmlns:r="http://schemas.openxmlformats.org/officeDocument/2006/relationships" ref="D65" r:id="rId36"/>
    <hyperlink xmlns:r="http://schemas.openxmlformats.org/officeDocument/2006/relationships" ref="D66" r:id="rId37"/>
    <hyperlink xmlns:r="http://schemas.openxmlformats.org/officeDocument/2006/relationships" ref="D67" r:id="rId38"/>
    <hyperlink xmlns:r="http://schemas.openxmlformats.org/officeDocument/2006/relationships" ref="D68" r:id="rId39"/>
    <hyperlink xmlns:r="http://schemas.openxmlformats.org/officeDocument/2006/relationships" ref="D69" r:id="rId40"/>
    <hyperlink xmlns:r="http://schemas.openxmlformats.org/officeDocument/2006/relationships" ref="D70" r:id="rId41"/>
    <hyperlink xmlns:r="http://schemas.openxmlformats.org/officeDocument/2006/relationships" ref="D71" r:id="rId42"/>
    <hyperlink xmlns:r="http://schemas.openxmlformats.org/officeDocument/2006/relationships" ref="D72" r:id="rId43"/>
    <hyperlink xmlns:r="http://schemas.openxmlformats.org/officeDocument/2006/relationships" ref="D73" r:id="rId44"/>
    <hyperlink xmlns:r="http://schemas.openxmlformats.org/officeDocument/2006/relationships" ref="D74" r:id="rId45"/>
    <hyperlink xmlns:r="http://schemas.openxmlformats.org/officeDocument/2006/relationships" ref="D75" r:id="rId46"/>
    <hyperlink xmlns:r="http://schemas.openxmlformats.org/officeDocument/2006/relationships" ref="D76" r:id="rId47"/>
    <hyperlink xmlns:r="http://schemas.openxmlformats.org/officeDocument/2006/relationships" ref="D77" r:id="rId48"/>
    <hyperlink xmlns:r="http://schemas.openxmlformats.org/officeDocument/2006/relationships" ref="D78" r:id="rId49"/>
    <hyperlink xmlns:r="http://schemas.openxmlformats.org/officeDocument/2006/relationships" ref="D79" r:id="rId50"/>
    <hyperlink xmlns:r="http://schemas.openxmlformats.org/officeDocument/2006/relationships" ref="D80" r:id="rId51"/>
    <hyperlink xmlns:r="http://schemas.openxmlformats.org/officeDocument/2006/relationships" ref="D81" r:id="rId52"/>
    <hyperlink xmlns:r="http://schemas.openxmlformats.org/officeDocument/2006/relationships" ref="D82" r:id="rId53"/>
    <hyperlink xmlns:r="http://schemas.openxmlformats.org/officeDocument/2006/relationships" ref="D83" r:id="rId54"/>
    <hyperlink xmlns:r="http://schemas.openxmlformats.org/officeDocument/2006/relationships" ref="D84" r:id="rId55"/>
    <hyperlink xmlns:r="http://schemas.openxmlformats.org/officeDocument/2006/relationships" ref="D85" r:id="rId56"/>
    <hyperlink xmlns:r="http://schemas.openxmlformats.org/officeDocument/2006/relationships" ref="D86" r:id="rId57"/>
    <hyperlink xmlns:r="http://schemas.openxmlformats.org/officeDocument/2006/relationships" ref="D87" r:id="rId58"/>
    <hyperlink xmlns:r="http://schemas.openxmlformats.org/officeDocument/2006/relationships" ref="D88" r:id="rId59"/>
    <hyperlink xmlns:r="http://schemas.openxmlformats.org/officeDocument/2006/relationships" ref="D89" r:id="rId60"/>
    <hyperlink xmlns:r="http://schemas.openxmlformats.org/officeDocument/2006/relationships" ref="D90" r:id="rId61"/>
    <hyperlink xmlns:r="http://schemas.openxmlformats.org/officeDocument/2006/relationships" ref="D91" r:id="rId62"/>
    <hyperlink xmlns:r="http://schemas.openxmlformats.org/officeDocument/2006/relationships" ref="D92" r:id="rId63"/>
    <hyperlink xmlns:r="http://schemas.openxmlformats.org/officeDocument/2006/relationships" ref="D93" r:id="rId64"/>
    <hyperlink xmlns:r="http://schemas.openxmlformats.org/officeDocument/2006/relationships" ref="D94" r:id="rId65"/>
    <hyperlink xmlns:r="http://schemas.openxmlformats.org/officeDocument/2006/relationships" ref="D95" r:id="rId66"/>
    <hyperlink xmlns:r="http://schemas.openxmlformats.org/officeDocument/2006/relationships" ref="D96" r:id="rId67"/>
    <hyperlink xmlns:r="http://schemas.openxmlformats.org/officeDocument/2006/relationships" ref="D97" r:id="rId68"/>
    <hyperlink xmlns:r="http://schemas.openxmlformats.org/officeDocument/2006/relationships" ref="D98" r:id="rId69"/>
    <hyperlink xmlns:r="http://schemas.openxmlformats.org/officeDocument/2006/relationships" ref="D99" r:id="rId70"/>
    <hyperlink xmlns:r="http://schemas.openxmlformats.org/officeDocument/2006/relationships" ref="D100" r:id="rId71"/>
    <hyperlink xmlns:r="http://schemas.openxmlformats.org/officeDocument/2006/relationships" ref="D103" r:id="rId72"/>
    <hyperlink xmlns:r="http://schemas.openxmlformats.org/officeDocument/2006/relationships" ref="D104" r:id="rId73"/>
    <hyperlink xmlns:r="http://schemas.openxmlformats.org/officeDocument/2006/relationships" ref="D105" r:id="rId74"/>
    <hyperlink xmlns:r="http://schemas.openxmlformats.org/officeDocument/2006/relationships" ref="D106" r:id="rId75"/>
    <hyperlink xmlns:r="http://schemas.openxmlformats.org/officeDocument/2006/relationships" ref="D107" r:id="rId76"/>
    <hyperlink xmlns:r="http://schemas.openxmlformats.org/officeDocument/2006/relationships" ref="D109" r:id="rId77"/>
    <hyperlink xmlns:r="http://schemas.openxmlformats.org/officeDocument/2006/relationships" ref="D110" r:id="rId78"/>
    <hyperlink xmlns:r="http://schemas.openxmlformats.org/officeDocument/2006/relationships" ref="D111" r:id="rId79"/>
    <hyperlink xmlns:r="http://schemas.openxmlformats.org/officeDocument/2006/relationships" ref="D112" r:id="rId80"/>
    <hyperlink xmlns:r="http://schemas.openxmlformats.org/officeDocument/2006/relationships" ref="D113" r:id="rId81"/>
    <hyperlink xmlns:r="http://schemas.openxmlformats.org/officeDocument/2006/relationships" ref="D114" r:id="rId82"/>
    <hyperlink xmlns:r="http://schemas.openxmlformats.org/officeDocument/2006/relationships" ref="D116" r:id="rId83"/>
    <hyperlink xmlns:r="http://schemas.openxmlformats.org/officeDocument/2006/relationships" ref="D117" r:id="rId84"/>
    <hyperlink xmlns:r="http://schemas.openxmlformats.org/officeDocument/2006/relationships" ref="D118" r:id="rId85"/>
    <hyperlink xmlns:r="http://schemas.openxmlformats.org/officeDocument/2006/relationships" ref="D119" r:id="rId86"/>
    <hyperlink xmlns:r="http://schemas.openxmlformats.org/officeDocument/2006/relationships" ref="D120" r:id="rId87"/>
    <hyperlink xmlns:r="http://schemas.openxmlformats.org/officeDocument/2006/relationships" ref="D121" r:id="rId88"/>
    <hyperlink xmlns:r="http://schemas.openxmlformats.org/officeDocument/2006/relationships" ref="D123" r:id="rId89"/>
    <hyperlink xmlns:r="http://schemas.openxmlformats.org/officeDocument/2006/relationships" ref="D124" r:id="rId90"/>
    <hyperlink xmlns:r="http://schemas.openxmlformats.org/officeDocument/2006/relationships" ref="D125" r:id="rId91"/>
    <hyperlink xmlns:r="http://schemas.openxmlformats.org/officeDocument/2006/relationships" ref="D126" r:id="rId92"/>
    <hyperlink xmlns:r="http://schemas.openxmlformats.org/officeDocument/2006/relationships" ref="D127" r:id="rId93"/>
    <hyperlink xmlns:r="http://schemas.openxmlformats.org/officeDocument/2006/relationships" ref="D128" r:id="rId94"/>
    <hyperlink xmlns:r="http://schemas.openxmlformats.org/officeDocument/2006/relationships" ref="D129" r:id="rId95"/>
    <hyperlink xmlns:r="http://schemas.openxmlformats.org/officeDocument/2006/relationships" ref="D130" r:id="rId96"/>
    <hyperlink xmlns:r="http://schemas.openxmlformats.org/officeDocument/2006/relationships" ref="D131" r:id="rId97"/>
    <hyperlink xmlns:r="http://schemas.openxmlformats.org/officeDocument/2006/relationships" ref="D132" r:id="rId98"/>
    <hyperlink xmlns:r="http://schemas.openxmlformats.org/officeDocument/2006/relationships" ref="D133" r:id="rId99"/>
    <hyperlink xmlns:r="http://schemas.openxmlformats.org/officeDocument/2006/relationships" ref="D134" r:id="rId100"/>
    <hyperlink xmlns:r="http://schemas.openxmlformats.org/officeDocument/2006/relationships" ref="D135" r:id="rId101"/>
    <hyperlink xmlns:r="http://schemas.openxmlformats.org/officeDocument/2006/relationships" ref="D136" r:id="rId102"/>
    <hyperlink xmlns:r="http://schemas.openxmlformats.org/officeDocument/2006/relationships" ref="D137" r:id="rId103"/>
    <hyperlink xmlns:r="http://schemas.openxmlformats.org/officeDocument/2006/relationships" ref="D138" r:id="rId104"/>
    <hyperlink xmlns:r="http://schemas.openxmlformats.org/officeDocument/2006/relationships" ref="D139" r:id="rId105"/>
    <hyperlink xmlns:r="http://schemas.openxmlformats.org/officeDocument/2006/relationships" ref="D140" r:id="rId106"/>
    <hyperlink xmlns:r="http://schemas.openxmlformats.org/officeDocument/2006/relationships" ref="D142" r:id="rId107"/>
    <hyperlink xmlns:r="http://schemas.openxmlformats.org/officeDocument/2006/relationships" ref="D143" r:id="rId108"/>
    <hyperlink xmlns:r="http://schemas.openxmlformats.org/officeDocument/2006/relationships" ref="D144" r:id="rId109"/>
    <hyperlink xmlns:r="http://schemas.openxmlformats.org/officeDocument/2006/relationships" ref="D145" r:id="rId110"/>
    <hyperlink xmlns:r="http://schemas.openxmlformats.org/officeDocument/2006/relationships" ref="D147" r:id="rId111"/>
    <hyperlink xmlns:r="http://schemas.openxmlformats.org/officeDocument/2006/relationships" ref="D148" r:id="rId112"/>
    <hyperlink xmlns:r="http://schemas.openxmlformats.org/officeDocument/2006/relationships" ref="D149" r:id="rId113"/>
    <hyperlink xmlns:r="http://schemas.openxmlformats.org/officeDocument/2006/relationships" ref="D151" r:id="rId114"/>
    <hyperlink xmlns:r="http://schemas.openxmlformats.org/officeDocument/2006/relationships" ref="D152" r:id="rId115"/>
    <hyperlink xmlns:r="http://schemas.openxmlformats.org/officeDocument/2006/relationships" ref="D153" r:id="rId116"/>
    <hyperlink xmlns:r="http://schemas.openxmlformats.org/officeDocument/2006/relationships" ref="D154" r:id="rId117"/>
    <hyperlink xmlns:r="http://schemas.openxmlformats.org/officeDocument/2006/relationships" ref="D155" r:id="rId118"/>
    <hyperlink xmlns:r="http://schemas.openxmlformats.org/officeDocument/2006/relationships" ref="D157" r:id="rId119"/>
    <hyperlink xmlns:r="http://schemas.openxmlformats.org/officeDocument/2006/relationships" ref="D158" r:id="rId120"/>
    <hyperlink xmlns:r="http://schemas.openxmlformats.org/officeDocument/2006/relationships" ref="D159" r:id="rId121"/>
    <hyperlink xmlns:r="http://schemas.openxmlformats.org/officeDocument/2006/relationships" ref="D160" r:id="rId122"/>
    <hyperlink xmlns:r="http://schemas.openxmlformats.org/officeDocument/2006/relationships" ref="D161" r:id="rId123"/>
    <hyperlink xmlns:r="http://schemas.openxmlformats.org/officeDocument/2006/relationships" ref="D162" r:id="rId124"/>
    <hyperlink xmlns:r="http://schemas.openxmlformats.org/officeDocument/2006/relationships" ref="D164" r:id="rId125"/>
    <hyperlink xmlns:r="http://schemas.openxmlformats.org/officeDocument/2006/relationships" ref="D165" r:id="rId126"/>
    <hyperlink xmlns:r="http://schemas.openxmlformats.org/officeDocument/2006/relationships" ref="D166" r:id="rId127"/>
    <hyperlink xmlns:r="http://schemas.openxmlformats.org/officeDocument/2006/relationships" ref="D167" r:id="rId128"/>
    <hyperlink xmlns:r="http://schemas.openxmlformats.org/officeDocument/2006/relationships" ref="D168" r:id="rId129"/>
    <hyperlink xmlns:r="http://schemas.openxmlformats.org/officeDocument/2006/relationships" ref="D169" r:id="rId130"/>
    <hyperlink xmlns:r="http://schemas.openxmlformats.org/officeDocument/2006/relationships" ref="D171" r:id="rId131"/>
    <hyperlink xmlns:r="http://schemas.openxmlformats.org/officeDocument/2006/relationships" ref="D172" r:id="rId132"/>
    <hyperlink xmlns:r="http://schemas.openxmlformats.org/officeDocument/2006/relationships" ref="D173" r:id="rId133"/>
    <hyperlink xmlns:r="http://schemas.openxmlformats.org/officeDocument/2006/relationships" ref="D174" r:id="rId134"/>
    <hyperlink xmlns:r="http://schemas.openxmlformats.org/officeDocument/2006/relationships" ref="D175" r:id="rId135"/>
    <hyperlink xmlns:r="http://schemas.openxmlformats.org/officeDocument/2006/relationships" ref="D176" r:id="rId136"/>
    <hyperlink xmlns:r="http://schemas.openxmlformats.org/officeDocument/2006/relationships" ref="D178" r:id="rId137"/>
    <hyperlink xmlns:r="http://schemas.openxmlformats.org/officeDocument/2006/relationships" ref="D179" r:id="rId138"/>
    <hyperlink xmlns:r="http://schemas.openxmlformats.org/officeDocument/2006/relationships" ref="D180" r:id="rId139"/>
    <hyperlink xmlns:r="http://schemas.openxmlformats.org/officeDocument/2006/relationships" ref="D181" r:id="rId140"/>
    <hyperlink xmlns:r="http://schemas.openxmlformats.org/officeDocument/2006/relationships" ref="D182" r:id="rId141"/>
    <hyperlink xmlns:r="http://schemas.openxmlformats.org/officeDocument/2006/relationships" ref="D183" r:id="rId142"/>
    <hyperlink xmlns:r="http://schemas.openxmlformats.org/officeDocument/2006/relationships" ref="D185" r:id="rId143"/>
    <hyperlink xmlns:r="http://schemas.openxmlformats.org/officeDocument/2006/relationships" ref="D186" r:id="rId144"/>
    <hyperlink xmlns:r="http://schemas.openxmlformats.org/officeDocument/2006/relationships" ref="D187" r:id="rId145"/>
    <hyperlink xmlns:r="http://schemas.openxmlformats.org/officeDocument/2006/relationships" ref="D188" r:id="rId146"/>
    <hyperlink xmlns:r="http://schemas.openxmlformats.org/officeDocument/2006/relationships" ref="D189" r:id="rId147"/>
    <hyperlink xmlns:r="http://schemas.openxmlformats.org/officeDocument/2006/relationships" ref="D190" r:id="rId148"/>
    <hyperlink xmlns:r="http://schemas.openxmlformats.org/officeDocument/2006/relationships" ref="D192" r:id="rId149"/>
    <hyperlink xmlns:r="http://schemas.openxmlformats.org/officeDocument/2006/relationships" ref="D193" r:id="rId150"/>
    <hyperlink xmlns:r="http://schemas.openxmlformats.org/officeDocument/2006/relationships" ref="D194" r:id="rId151"/>
    <hyperlink xmlns:r="http://schemas.openxmlformats.org/officeDocument/2006/relationships" ref="D195" r:id="rId152"/>
    <hyperlink xmlns:r="http://schemas.openxmlformats.org/officeDocument/2006/relationships" ref="D196" r:id="rId1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2026-10-26T12:38:56Z</dcterms:created>
  <dcterms:modified xmlns:dcterms="http://purl.org/dc/terms/" xmlns:xsi="http://www.w3.org/2001/XMLSchema-instance" xsi:type="dcterms:W3CDTF">2026-10-26T12:38:56Z</dcterms:modified>
</cp:coreProperties>
</file>