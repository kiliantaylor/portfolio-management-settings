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Distribution" sheetId="5" state="visible" r:id="rId5"/>
    <sheet xmlns:r="http://schemas.openxmlformats.org/officeDocument/2006/relationships" name="Calc - research target (12m)" sheetId="6" state="visible" r:id="rId6"/>
    <sheet xmlns:r="http://schemas.openxmlformats.org/officeDocument/2006/relationships" name="Calc - bear" sheetId="7" state="visible" r:id="rId7"/>
    <sheet xmlns:r="http://schemas.openxmlformats.org/officeDocument/2006/relationships" name="Calc - base" sheetId="8" state="visible" r:id="rId8"/>
    <sheet xmlns:r="http://schemas.openxmlformats.org/officeDocument/2006/relationships" name="Calc - bull" sheetId="9" state="visible" r:id="rId9"/>
    <sheet xmlns:r="http://schemas.openxmlformats.org/officeDocument/2006/relationships" name="Agents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yyyy-mm-dd"/>
    <numFmt numFmtId="165" formatCode="#,##0;(#,##0)"/>
    <numFmt numFmtId="166" formatCode="0.0%"/>
    <numFmt numFmtId="167" formatCode="0.00&quot;x&quot;"/>
    <numFmt numFmtId="168" formatCode="#,##0.0"/>
    <numFmt numFmtId="169" formatCode="$0.00"/>
    <numFmt numFmtId="170" formatCode="0.0"/>
    <numFmt numFmtId="171" formatCode="0.000"/>
    <numFmt numFmtId="172" formatCode="0.0000"/>
    <numFmt numFmtId="173" formatCode="0.0&quot;x&quot;"/>
    <numFmt numFmtId="174" formatCode="+0.0%;-0.0%;0.0%"/>
    <numFmt numFmtId="175" formatCode="yyyy-mm-dd hh:mm"/>
  </numFmts>
  <fonts count="8">
    <font>
      <name val="Calibri"/>
      <family val="2"/>
      <color theme="1"/>
      <sz val="11"/>
      <scheme val="minor"/>
    </font>
    <font>
      <b val="1"/>
    </font>
    <font>
      <color rgb="000000FF"/>
    </font>
    <font>
      <i val="1"/>
      <color rgb="00444444"/>
    </font>
    <font>
      <b val="1"/>
      <sz val="13"/>
    </font>
    <font>
      <i val="1"/>
      <color rgb="00666666"/>
    </font>
    <font>
      <color rgb="00008000"/>
    </font>
    <font>
      <color rgb="007030A0"/>
    </font>
  </fonts>
  <fills count="4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2" fontId="6" fillId="0" borderId="0" pivotButton="0" quotePrefix="0" xfId="0"/>
    <xf numFmtId="175" fontId="0" fillId="0" borderId="0" pivotButton="0" quotePrefix="0" xfId="0"/>
    <xf numFmtId="2" fontId="1" fillId="0" borderId="0" pivotButton="0" quotePrefix="0" xfId="0"/>
    <xf numFmtId="166" fontId="1" fillId="0" borderId="0" pivotButton="0" quotePrefix="0" xfId="0"/>
    <xf numFmtId="164" fontId="6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0" fontId="3" fillId="0" borderId="0" pivotButton="0" quotePrefix="0" xfId="0"/>
    <xf numFmtId="166" fontId="6" fillId="0" borderId="0" pivotButton="0" quotePrefix="0" xfId="0"/>
    <xf numFmtId="169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66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2" fillId="0" borderId="0" pivotButton="0" quotePrefix="0" xfId="0"/>
    <xf numFmtId="165" fontId="1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9" fontId="1" fillId="0" borderId="0" pivotButton="0" quotePrefix="0" xfId="0"/>
    <xf numFmtId="165" fontId="7" fillId="0" borderId="0" pivotButton="0" quotePrefix="0" xfId="0"/>
    <xf numFmtId="4" fontId="6" fillId="0" borderId="0" pivotButton="0" quotePrefix="0" xfId="0"/>
    <xf numFmtId="168" fontId="6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2" fontId="2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0" fontId="0" fillId="0" borderId="0" applyAlignment="1" pivotButton="0" quotePrefix="0" xfId="0">
      <alignment vertical="top" wrapText="1"/>
    </xf>
    <xf numFmtId="173" fontId="1" fillId="0" borderId="0" pivotButton="0" quotePrefix="0" xfId="0"/>
    <xf numFmtId="174" fontId="1" fillId="0" borderId="0" pivotButton="0" quotePrefix="0" xfId="0"/>
    <xf numFmtId="172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4" fontId="0" fillId="0" borderId="0" pivotButton="0" quotePrefix="0" xfId="0"/>
    <xf numFmtId="170" fontId="6" fillId="0" borderId="0" pivotButton="0" quotePrefix="0" xfId="0"/>
    <xf numFmtId="17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www.sec.gov/Archives/edgar/data/67347/000110465926112870/tm2626618d1_8k.htm" TargetMode="External" Id="rId1"/><Relationship Type="http://schemas.openxmlformats.org/officeDocument/2006/relationships/hyperlink" Target="https://data.sec.gov/submissions/CIK0000067347.json" TargetMode="External" Id="rId2"/><Relationship Type="http://schemas.openxmlformats.org/officeDocument/2006/relationships/hyperlink" Target="https://data.sec.gov/submissions/CIK0000903129.json" TargetMode="External" Id="rId3"/><Relationship Type="http://schemas.openxmlformats.org/officeDocument/2006/relationships/hyperlink" Target="https://www.sec.gov/Archives/edgar/data/67347/000110465926088230/mod-20260729xex99d1.htm" TargetMode="External" Id="rId4"/><Relationship Type="http://schemas.openxmlformats.org/officeDocument/2006/relationships/hyperlink" Target="https://www.sec.gov/Archives/edgar/data/67347/000110465926088230/mod-20260729xex99d2.htm" TargetMode="External" Id="rId5"/><Relationship Type="http://schemas.openxmlformats.org/officeDocument/2006/relationships/hyperlink" Target="https://www.sec.gov/Archives/edgar/data/67347/000110465926086644/mod-20260724xex99d1.htm" TargetMode="External" Id="rId6"/><Relationship Type="http://schemas.openxmlformats.org/officeDocument/2006/relationships/hyperlink" Target="https://www.sec.gov/Archives/edgar/data/67347/000110465926066795/mod-20260331x10k.htm" TargetMode="External" Id="rId7"/><Relationship Type="http://schemas.openxmlformats.org/officeDocument/2006/relationships/hyperlink" Target="https://stockanalysis.com/stocks/spxc/statistics/" TargetMode="External" Id="rId8"/><Relationship Type="http://schemas.openxmlformats.org/officeDocument/2006/relationships/hyperlink" Target="https://stockanalysis.com/stocks/cswi/statistics/" TargetMode="External" Id="rId9"/><Relationship Type="http://schemas.openxmlformats.org/officeDocument/2006/relationships/hyperlink" Target="https://stockanalysis.com/stocks/etn/statistics/" TargetMode="External" Id="rId10"/><Relationship Type="http://schemas.openxmlformats.org/officeDocument/2006/relationships/hyperlink" Target="https://stockanalysis.com/stocks/aaon/statistics/" TargetMode="External" Id="rId11"/><Relationship Type="http://schemas.openxmlformats.org/officeDocument/2006/relationships/hyperlink" Target="https://www.sec.gov/Archives/edgar/data/67347/000110465926113588/xslF345X06/tm2626713-4_4seq1.xml" TargetMode="External" Id="rId12"/><Relationship Type="http://schemas.openxmlformats.org/officeDocument/2006/relationships/hyperlink" Target="https://www.prnewswire.com/news-releases/modine-to-host-analyst-and-investor-day-on-november-18-2026-302876675.html" TargetMode="External" Id="rId13"/><Relationship Type="http://schemas.openxmlformats.org/officeDocument/2006/relationships/hyperlink" Target="https://www.sec.gov/Archives/edgar/data/67347/000110465926088569/mod-20260630x10q.htm" TargetMode="External" Id="rId14"/><Relationship Type="http://schemas.openxmlformats.org/officeDocument/2006/relationships/hyperlink" Target="https://data.sec.gov/api/xbrl/companyfacts/CIK0001674101.json" TargetMode="External" Id="rId15"/><Relationship Type="http://schemas.openxmlformats.org/officeDocument/2006/relationships/hyperlink" Target="https://www.sec.gov/Archives/edgar/data/1783180/000178318026000032/carr-20260630.htm" TargetMode="External" Id="rId16"/><Relationship Type="http://schemas.openxmlformats.org/officeDocument/2006/relationships/hyperlink" Target="https://www.sec.gov/Archives/edgar/data/1069202/000106920226000087/lii-20260630.htm" TargetMode="External" Id="rId17"/><Relationship Type="http://schemas.openxmlformats.org/officeDocument/2006/relationships/hyperlink" Target="https://www.sec.gov/Archives/edgar/data/833444/000083344426000087/jci-20260630.htm" TargetMode="External" Id="rId18"/><Relationship Type="http://schemas.openxmlformats.org/officeDocument/2006/relationships/hyperlink" Target="https://www.sec.gov/Archives/edgar/data/833444/000083344425000097/jci-20250930.htm" TargetMode="External" Id="rId19"/><Relationship Type="http://schemas.openxmlformats.org/officeDocument/2006/relationships/hyperlink" Target="https://twelvedata.com/" TargetMode="External" Id="rId20"/><Relationship Type="http://schemas.openxmlformats.org/officeDocument/2006/relationships/hyperlink" Target="https://stockanalysis.com/stocks/vrt/forecast/" TargetMode="External" Id="rId21"/><Relationship Type="http://schemas.openxmlformats.org/officeDocument/2006/relationships/hyperlink" Target="https://www.sec.gov/Archives/edgar/data/67347/000110465925103221/mod-20251028x8k.htm" TargetMode="External" Id="rId22"/><Relationship Type="http://schemas.openxmlformats.org/officeDocument/2006/relationships/hyperlink" Target="https://s205.q4cdn.com/270741342/files/doc_financials/2027/q1/Modine_-Transcript-Q1-FY27.pdf" TargetMode="External" Id="rId23"/><Relationship Type="http://schemas.openxmlformats.org/officeDocument/2006/relationships/hyperlink" Target="https://www.sec.gov/Archives/edgar/data/67347/000114036124027058/ef20029568_ex99-1.htm" TargetMode="External" Id="rId24"/><Relationship Type="http://schemas.openxmlformats.org/officeDocument/2006/relationships/hyperlink" Target="https://www.sec.gov/Archives/edgar/data/67347/000155837025008029/tmb-20250520xex99d1.htm" TargetMode="External" Id="rId25"/><Relationship Type="http://schemas.openxmlformats.org/officeDocument/2006/relationships/hyperlink" Target="https://www.sec.gov/Archives/edgar/data/67347/000110465926066291/mod-20260526xex99d1.htm" TargetMode="External" Id="rId26"/><Relationship Type="http://schemas.openxmlformats.org/officeDocument/2006/relationships/hyperlink" Target="https://www.sec.gov/Archives/edgar/data/67347/000110465926008087/mod-20260129xex99d2.htm" TargetMode="External" Id="rId27"/><Relationship Type="http://schemas.openxmlformats.org/officeDocument/2006/relationships/hyperlink" Target="https://query1.finance.yahoo.com/v8/finance/chart/VRT?range=5d&amp;interval=1d" TargetMode="External" Id="rId28"/><Relationship Type="http://schemas.openxmlformats.org/officeDocument/2006/relationships/hyperlink" Target="https://api.nasdaq.com/api/analyst/VRT/earnings-forecast" TargetMode="External" Id="rId29"/><Relationship Type="http://schemas.openxmlformats.org/officeDocument/2006/relationships/hyperlink" Target="https://api.nasdaq.com/api/analyst/NVT/earnings-forecast" TargetMode="External" Id="rId30"/><Relationship Type="http://schemas.openxmlformats.org/officeDocument/2006/relationships/hyperlink" Target="https://api.nasdaq.com/api/analyst/AAON/earnings-forecast" TargetMode="External" Id="rId31"/><Relationship Type="http://schemas.openxmlformats.org/officeDocument/2006/relationships/hyperlink" Target="https://api.nasdaq.com/api/analyst/TT/earnings-forecast" TargetMode="External" Id="rId32"/><Relationship Type="http://schemas.openxmlformats.org/officeDocument/2006/relationships/hyperlink" Target="https://api.nasdaq.com/api/analyst/JCI/earnings-forecast" TargetMode="External" Id="rId33"/><Relationship Type="http://schemas.openxmlformats.org/officeDocument/2006/relationships/hyperlink" Target="https://api.nasdaq.com/api/analyst/CARR/earnings-forecast" TargetMode="External" Id="rId34"/><Relationship Type="http://schemas.openxmlformats.org/officeDocument/2006/relationships/hyperlink" Target="https://api.nasdaq.com/api/analyst/SPXC/earnings-forecast" TargetMode="External" Id="rId35"/><Relationship Type="http://schemas.openxmlformats.org/officeDocument/2006/relationships/hyperlink" Target="https://api.nasdaq.com/api/analyst/CSW/earnings-forecast" TargetMode="External" Id="rId36"/><Relationship Type="http://schemas.openxmlformats.org/officeDocument/2006/relationships/hyperlink" Target="https://api.nasdaq.com/api/analyst/ETN/earnings-forecast" TargetMode="External" Id="rId37"/><Relationship Type="http://schemas.openxmlformats.org/officeDocument/2006/relationships/hyperlink" Target="https://api.nasdaq.com/api/company/VRT/earnings-surprise" TargetMode="External" Id="rId38"/><Relationship Type="http://schemas.openxmlformats.org/officeDocument/2006/relationships/hyperlink" Target="https://api.nasdaq.com/api/company/NVT/earnings-surprise" TargetMode="External" Id="rId39"/><Relationship Type="http://schemas.openxmlformats.org/officeDocument/2006/relationships/hyperlink" Target="https://api.nasdaq.com/api/company/AAON/earnings-surprise" TargetMode="External" Id="rId40"/><Relationship Type="http://schemas.openxmlformats.org/officeDocument/2006/relationships/hyperlink" Target="https://api.nasdaq.com/api/company/TT/earnings-surprise" TargetMode="External" Id="rId41"/><Relationship Type="http://schemas.openxmlformats.org/officeDocument/2006/relationships/hyperlink" Target="https://api.nasdaq.com/api/company/JCI/earnings-surprise" TargetMode="External" Id="rId42"/><Relationship Type="http://schemas.openxmlformats.org/officeDocument/2006/relationships/hyperlink" Target="https://api.nasdaq.com/api/company/CARR/earnings-surprise" TargetMode="External" Id="rId43"/><Relationship Type="http://schemas.openxmlformats.org/officeDocument/2006/relationships/hyperlink" Target="https://api.nasdaq.com/api/company/SPXC/earnings-surprise" TargetMode="External" Id="rId44"/><Relationship Type="http://schemas.openxmlformats.org/officeDocument/2006/relationships/hyperlink" Target="https://api.nasdaq.com/api/company/CSW/earnings-surprise" TargetMode="External" Id="rId45"/><Relationship Type="http://schemas.openxmlformats.org/officeDocument/2006/relationships/hyperlink" Target="https://api.nasdaq.com/api/company/ETN/earnings-surprise" TargetMode="External" Id="rId46"/><Relationship Type="http://schemas.openxmlformats.org/officeDocument/2006/relationships/hyperlink" Target="https://www.sec.gov/Archives/edgar/data/1674101/000162828026050323/q22026exhibit991vrt07292026.htm" TargetMode="External" Id="rId47"/><Relationship Type="http://schemas.openxmlformats.org/officeDocument/2006/relationships/hyperlink" Target="https://www.sec.gov/Archives/edgar/data/1720635/000162828026051203/q22026nvtpressrelease.htm" TargetMode="External" Id="rId48"/><Relationship Type="http://schemas.openxmlformats.org/officeDocument/2006/relationships/hyperlink" Target="https://www.sec.gov/Archives/edgar/data/824142/000082414226000052/liveaaonpressreleaseexs.htm" TargetMode="External" Id="rId49"/><Relationship Type="http://schemas.openxmlformats.org/officeDocument/2006/relationships/hyperlink" Target="https://www.sec.gov/Archives/edgar/data/1466258/000162828026050743/exhibit991-q22026earningsr.htm" TargetMode="External" Id="rId50"/><Relationship Type="http://schemas.openxmlformats.org/officeDocument/2006/relationships/hyperlink" Target="https://www.sec.gov/Archives/edgar/data/833444/000083344426000083/q3ex991xq3fy26earningsrele.htm" TargetMode="External" Id="rId51"/><Relationship Type="http://schemas.openxmlformats.org/officeDocument/2006/relationships/hyperlink" Target="https://www.sec.gov/Archives/edgar/data/1783180/000178318026000030/a99-q22026earningsexhibit.htm" TargetMode="External" Id="rId52"/><Relationship Type="http://schemas.openxmlformats.org/officeDocument/2006/relationships/hyperlink" Target="https://www.sec.gov/Archives/edgar/data/88205/000008820526000052/q22026pressrelease.htm" TargetMode="External" Id="rId53"/><Relationship Type="http://schemas.openxmlformats.org/officeDocument/2006/relationships/hyperlink" Target="https://www.sec.gov/Archives/edgar/data/1624794/000162479426000048/er_q12027.htm" TargetMode="External" Id="rId54"/><Relationship Type="http://schemas.openxmlformats.org/officeDocument/2006/relationships/hyperlink" Target="https://www.sec.gov/Archives/edgar/data/1551182/000155118226000027/etn06302026exhibit99.htm" TargetMode="External" Id="rId55"/><Relationship Type="http://schemas.openxmlformats.org/officeDocument/2006/relationships/hyperlink" Target="https://www.marketscreener.com/quote/stock/VERTIV-HOLDINGS-CO-45109447/finances/" TargetMode="External" Id="rId56"/><Relationship Type="http://schemas.openxmlformats.org/officeDocument/2006/relationships/hyperlink" Target="https://www.marketscreener.com/quote/stock/NVENT-ELECTRIC-PLC-42779053/finances/" TargetMode="External" Id="rId57"/><Relationship Type="http://schemas.openxmlformats.org/officeDocument/2006/relationships/hyperlink" Target="https://www.marketscreener.com/quote/stock/AAON-INC-8199/finances/" TargetMode="External" Id="rId58"/><Relationship Type="http://schemas.openxmlformats.org/officeDocument/2006/relationships/hyperlink" Target="https://www.marketscreener.com/quote/stock/TRANE-TECHNOLOGIES-PLC-13109/finances/" TargetMode="External" Id="rId59"/><Relationship Type="http://schemas.openxmlformats.org/officeDocument/2006/relationships/hyperlink" Target="https://www.marketscreener.com/quote/stock/JOHNSON-CONTROLS-INTERNAT-31222816/finances/" TargetMode="External" Id="rId60"/><Relationship Type="http://schemas.openxmlformats.org/officeDocument/2006/relationships/hyperlink" Target="https://www.marketscreener.com/quote/stock/CARRIER-GLOBAL-CORPORATIO-105026688/finances/" TargetMode="External" Id="rId61"/><Relationship Type="http://schemas.openxmlformats.org/officeDocument/2006/relationships/hyperlink" Target="https://www.marketscreener.com/quote/stock/SPX-TECHNOLOGIES-INC-14462/finances/" TargetMode="External" Id="rId62"/><Relationship Type="http://schemas.openxmlformats.org/officeDocument/2006/relationships/hyperlink" Target="https://www.marketscreener.com/quote/stock/CSW-INDUSTRIALS-INC-23733723/finances/" TargetMode="External" Id="rId63"/><Relationship Type="http://schemas.openxmlformats.org/officeDocument/2006/relationships/hyperlink" Target="https://www.marketscreener.com/quote/stock/EATON-CORPORATION-PLC-12029421/finances/" TargetMode="External" Id="rId64"/><Relationship Type="http://schemas.openxmlformats.org/officeDocument/2006/relationships/hyperlink" Target="https://www.marketscreener.com/quote/stock/MUNTERS-GROUP-AB-34973373/finances/" TargetMode="External" Id="rId65"/><Relationship Type="http://schemas.openxmlformats.org/officeDocument/2006/relationships/hyperlink" Target="https://www.marketscreener.com/quote/stock/ALFA-LAVAL-AB-6494532/finances/" TargetMode="External" Id="rId66"/><Relationship Type="http://schemas.openxmlformats.org/officeDocument/2006/relationships/hyperlink" Target="https://www.marketscreener.com/quote/stock/DAIKIN-INDUSTRIES-LTD-6491221/finances/" TargetMode="External" Id="rId67"/><Relationship Type="http://schemas.openxmlformats.org/officeDocument/2006/relationships/hyperlink" Target="https://www.marketscreener.com/quote/stock/MUNTERS-GROUP-AB-34973373/valuation/" TargetMode="External" Id="rId68"/><Relationship Type="http://schemas.openxmlformats.org/officeDocument/2006/relationships/hyperlink" Target="https://seekingalpha.com/pr/20082498-csw-industrials-announces-transfer-of-listing-of-common-stock-to-the-new-york-stock-exchange" TargetMode="External" Id="rId69"/><Relationship Type="http://schemas.openxmlformats.org/officeDocument/2006/relationships/hyperlink" Target="https://www.alfalaval.com/contentassets/7be9ef28760e461c918b66445b4b65eb/wkr0006.pdf" TargetMode="External" Id="rId70"/><Relationship Type="http://schemas.openxmlformats.org/officeDocument/2006/relationships/hyperlink" Target="https://stockanalysis.com/quote/tyo/6367/financials/income-statement/" TargetMode="External" Id="rId71"/><Relationship Type="http://schemas.openxmlformats.org/officeDocument/2006/relationships/hyperlink" Target="https://www.sec.gov/Archives/edgar/data/67347/000110465926114220/mod-ex99d1.htm" TargetMode="External" Id="rId72"/><Relationship Type="http://schemas.openxmlformats.org/officeDocument/2006/relationships/hyperlink" Target="https://www.marketscreener.com/quote/stock/MODINE-MANUFACTURING-COMP-13585/finances/" TargetMode="External" Id="rId73"/><Relationship Type="http://schemas.openxmlformats.org/officeDocument/2006/relationships/hyperlink" Target="https://api.nasdaq.com/api/analyst/MOD/earnings-forecast" TargetMode="External" Id="rId74"/><Relationship Type="http://schemas.openxmlformats.org/officeDocument/2006/relationships/hyperlink" Target="https://www.sec.gov/Archives/edgar/data/67347/000110465926066795/" TargetMode="External" Id="rId75"/><Relationship Type="http://schemas.openxmlformats.org/officeDocument/2006/relationships/hyperlink" Target="https://www.sec.gov/Archives/edgar/data/67347/000110465926066795/" TargetMode="External" Id="rId76"/><Relationship Type="http://schemas.openxmlformats.org/officeDocument/2006/relationships/hyperlink" Target="https://www.sec.gov/Archives/edgar/data/67347/000110465926066795/" TargetMode="External" Id="rId77"/><Relationship Type="http://schemas.openxmlformats.org/officeDocument/2006/relationships/hyperlink" Target="https://www.sec.gov/Archives/edgar/data/67347/000110465926088569/" TargetMode="External" Id="rId78"/><Relationship Type="http://schemas.openxmlformats.org/officeDocument/2006/relationships/hyperlink" Target="https://www.sec.gov/Archives/edgar/data/67347/000110465926088569/" TargetMode="External" Id="rId79"/><Relationship Type="http://schemas.openxmlformats.org/officeDocument/2006/relationships/hyperlink" Target="https://www.sec.gov/Archives/edgar/data/67347/000110465926088569/" TargetMode="External" Id="rId80"/><Relationship Type="http://schemas.openxmlformats.org/officeDocument/2006/relationships/hyperlink" Target="https://www.sec.gov/Archives/edgar/data/67347/000110465926066795/" TargetMode="External" Id="rId81"/><Relationship Type="http://schemas.openxmlformats.org/officeDocument/2006/relationships/hyperlink" Target="https://www.sec.gov/Archives/edgar/data/67347/000110465926066795/" TargetMode="External" Id="rId82"/><Relationship Type="http://schemas.openxmlformats.org/officeDocument/2006/relationships/hyperlink" Target="https://www.sec.gov/Archives/edgar/data/67347/000110465926066795/" TargetMode="External" Id="rId83"/><Relationship Type="http://schemas.openxmlformats.org/officeDocument/2006/relationships/hyperlink" Target="https://www.sec.gov/Archives/edgar/data/67347/000110465926088569/" TargetMode="External" Id="rId84"/><Relationship Type="http://schemas.openxmlformats.org/officeDocument/2006/relationships/hyperlink" Target="https://www.sec.gov/Archives/edgar/data/67347/000110465926088569/" TargetMode="External" Id="rId85"/><Relationship Type="http://schemas.openxmlformats.org/officeDocument/2006/relationships/hyperlink" Target="https://www.sec.gov/Archives/edgar/data/67347/000110465926088569/" TargetMode="External" Id="rId86"/><Relationship Type="http://schemas.openxmlformats.org/officeDocument/2006/relationships/hyperlink" Target="https://www.sec.gov/Archives/edgar/data/67347/000110465926066795/" TargetMode="External" Id="rId87"/><Relationship Type="http://schemas.openxmlformats.org/officeDocument/2006/relationships/hyperlink" Target="https://www.sec.gov/Archives/edgar/data/67347/000110465926066795/" TargetMode="External" Id="rId88"/><Relationship Type="http://schemas.openxmlformats.org/officeDocument/2006/relationships/hyperlink" Target="https://www.sec.gov/Archives/edgar/data/67347/000110465926066795/" TargetMode="External" Id="rId89"/><Relationship Type="http://schemas.openxmlformats.org/officeDocument/2006/relationships/hyperlink" Target="https://www.sec.gov/Archives/edgar/data/67347/000110465926088569/" TargetMode="External" Id="rId90"/><Relationship Type="http://schemas.openxmlformats.org/officeDocument/2006/relationships/hyperlink" Target="https://www.sec.gov/Archives/edgar/data/67347/000110465926088569/" TargetMode="External" Id="rId91"/><Relationship Type="http://schemas.openxmlformats.org/officeDocument/2006/relationships/hyperlink" Target="https://www.sec.gov/Archives/edgar/data/67347/000110465926088569/" TargetMode="External" Id="rId92"/><Relationship Type="http://schemas.openxmlformats.org/officeDocument/2006/relationships/hyperlink" Target="https://www.sec.gov/Archives/edgar/data/67347/000110465926066795/" TargetMode="External" Id="rId93"/><Relationship Type="http://schemas.openxmlformats.org/officeDocument/2006/relationships/hyperlink" Target="https://www.sec.gov/Archives/edgar/data/67347/000110465926066795/" TargetMode="External" Id="rId94"/><Relationship Type="http://schemas.openxmlformats.org/officeDocument/2006/relationships/hyperlink" Target="https://www.sec.gov/Archives/edgar/data/67347/000110465926066795/" TargetMode="External" Id="rId95"/><Relationship Type="http://schemas.openxmlformats.org/officeDocument/2006/relationships/hyperlink" Target="https://www.sec.gov/Archives/edgar/data/67347/000110465926088569/" TargetMode="External" Id="rId96"/><Relationship Type="http://schemas.openxmlformats.org/officeDocument/2006/relationships/hyperlink" Target="https://www.sec.gov/Archives/edgar/data/67347/000110465926088569/" TargetMode="External" Id="rId97"/><Relationship Type="http://schemas.openxmlformats.org/officeDocument/2006/relationships/hyperlink" Target="https://www.sec.gov/Archives/edgar/data/67347/000110465926088569/" TargetMode="External" Id="rId98"/><Relationship Type="http://schemas.openxmlformats.org/officeDocument/2006/relationships/hyperlink" Target="https://www.sec.gov/Archives/edgar/data/67347/000110465926066795/" TargetMode="External" Id="rId99"/><Relationship Type="http://schemas.openxmlformats.org/officeDocument/2006/relationships/hyperlink" Target="https://www.sec.gov/Archives/edgar/data/67347/000110465926066795/" TargetMode="External" Id="rId100"/><Relationship Type="http://schemas.openxmlformats.org/officeDocument/2006/relationships/hyperlink" Target="https://www.sec.gov/Archives/edgar/data/67347/000110465926066795/" TargetMode="External" Id="rId101"/><Relationship Type="http://schemas.openxmlformats.org/officeDocument/2006/relationships/hyperlink" Target="https://www.sec.gov/Archives/edgar/data/67347/000110465926088569/" TargetMode="External" Id="rId102"/><Relationship Type="http://schemas.openxmlformats.org/officeDocument/2006/relationships/hyperlink" Target="https://www.sec.gov/Archives/edgar/data/67347/000110465926088569/" TargetMode="External" Id="rId103"/><Relationship Type="http://schemas.openxmlformats.org/officeDocument/2006/relationships/hyperlink" Target="https://www.sec.gov/Archives/edgar/data/67347/000110465926088569/" TargetMode="External" Id="rId104"/><Relationship Type="http://schemas.openxmlformats.org/officeDocument/2006/relationships/hyperlink" Target="https://www.sec.gov/Archives/edgar/data/67347/000110465926066795/" TargetMode="External" Id="rId105"/><Relationship Type="http://schemas.openxmlformats.org/officeDocument/2006/relationships/hyperlink" Target="https://www.sec.gov/Archives/edgar/data/67347/000110465926066795/" TargetMode="External" Id="rId106"/><Relationship Type="http://schemas.openxmlformats.org/officeDocument/2006/relationships/hyperlink" Target="https://www.sec.gov/Archives/edgar/data/67347/000110465926066795/" TargetMode="External" Id="rId107"/><Relationship Type="http://schemas.openxmlformats.org/officeDocument/2006/relationships/hyperlink" Target="https://www.sec.gov/Archives/edgar/data/67347/000110465926088569/" TargetMode="External" Id="rId108"/><Relationship Type="http://schemas.openxmlformats.org/officeDocument/2006/relationships/hyperlink" Target="https://www.sec.gov/Archives/edgar/data/67347/000110465926088569/" TargetMode="External" Id="rId109"/><Relationship Type="http://schemas.openxmlformats.org/officeDocument/2006/relationships/hyperlink" Target="https://www.sec.gov/Archives/edgar/data/67347/000110465926088569/" TargetMode="External" Id="rId110"/><Relationship Type="http://schemas.openxmlformats.org/officeDocument/2006/relationships/hyperlink" Target="https://www.sec.gov/Archives/edgar/data/67347/000110465926066795/" TargetMode="External" Id="rId111"/><Relationship Type="http://schemas.openxmlformats.org/officeDocument/2006/relationships/hyperlink" Target="https://www.sec.gov/Archives/edgar/data/67347/000110465926066795/" TargetMode="External" Id="rId112"/><Relationship Type="http://schemas.openxmlformats.org/officeDocument/2006/relationships/hyperlink" Target="https://www.sec.gov/Archives/edgar/data/67347/000110465926066795/" TargetMode="External" Id="rId113"/><Relationship Type="http://schemas.openxmlformats.org/officeDocument/2006/relationships/hyperlink" Target="https://www.sec.gov/Archives/edgar/data/67347/000110465926088569/" TargetMode="External" Id="rId114"/><Relationship Type="http://schemas.openxmlformats.org/officeDocument/2006/relationships/hyperlink" Target="https://www.sec.gov/Archives/edgar/data/67347/000110465926088569/" TargetMode="External" Id="rId115"/><Relationship Type="http://schemas.openxmlformats.org/officeDocument/2006/relationships/hyperlink" Target="https://www.sec.gov/Archives/edgar/data/67347/000110465926088569/" TargetMode="External" Id="rId116"/><Relationship Type="http://schemas.openxmlformats.org/officeDocument/2006/relationships/hyperlink" Target="https://www.sec.gov/Archives/edgar/data/67347/000110465926066795/" TargetMode="External" Id="rId117"/><Relationship Type="http://schemas.openxmlformats.org/officeDocument/2006/relationships/hyperlink" Target="https://www.sec.gov/Archives/edgar/data/67347/000110465926066795/" TargetMode="External" Id="rId118"/><Relationship Type="http://schemas.openxmlformats.org/officeDocument/2006/relationships/hyperlink" Target="https://www.sec.gov/Archives/edgar/data/67347/000110465926066795/" TargetMode="External" Id="rId119"/><Relationship Type="http://schemas.openxmlformats.org/officeDocument/2006/relationships/hyperlink" Target="https://www.sec.gov/Archives/edgar/data/67347/000110465926088569/" TargetMode="External" Id="rId120"/><Relationship Type="http://schemas.openxmlformats.org/officeDocument/2006/relationships/hyperlink" Target="https://www.sec.gov/Archives/edgar/data/67347/000110465926088569/" TargetMode="External" Id="rId121"/><Relationship Type="http://schemas.openxmlformats.org/officeDocument/2006/relationships/hyperlink" Target="https://www.sec.gov/Archives/edgar/data/67347/000110465926088569/" TargetMode="External" Id="rId122"/><Relationship Type="http://schemas.openxmlformats.org/officeDocument/2006/relationships/hyperlink" Target="https://www.sec.gov/Archives/edgar/data/67347/000110465926066795/" TargetMode="External" Id="rId123"/><Relationship Type="http://schemas.openxmlformats.org/officeDocument/2006/relationships/hyperlink" Target="https://www.sec.gov/Archives/edgar/data/67347/000110465926066795/" TargetMode="External" Id="rId124"/><Relationship Type="http://schemas.openxmlformats.org/officeDocument/2006/relationships/hyperlink" Target="https://www.sec.gov/Archives/edgar/data/67347/000110465926066795/" TargetMode="External" Id="rId125"/><Relationship Type="http://schemas.openxmlformats.org/officeDocument/2006/relationships/hyperlink" Target="https://www.sec.gov/Archives/edgar/data/67347/000110465926088569/" TargetMode="External" Id="rId126"/><Relationship Type="http://schemas.openxmlformats.org/officeDocument/2006/relationships/hyperlink" Target="https://www.sec.gov/Archives/edgar/data/67347/000110465926088569/" TargetMode="External" Id="rId127"/><Relationship Type="http://schemas.openxmlformats.org/officeDocument/2006/relationships/hyperlink" Target="https://www.sec.gov/Archives/edgar/data/67347/000110465926088569/" TargetMode="External" Id="rId128"/><Relationship Type="http://schemas.openxmlformats.org/officeDocument/2006/relationships/hyperlink" Target="https://www.sec.gov/Archives/edgar/data/67347/000110465926066795/" TargetMode="External" Id="rId129"/><Relationship Type="http://schemas.openxmlformats.org/officeDocument/2006/relationships/hyperlink" Target="https://www.sec.gov/Archives/edgar/data/67347/000110465926066795/" TargetMode="External" Id="rId130"/><Relationship Type="http://schemas.openxmlformats.org/officeDocument/2006/relationships/hyperlink" Target="https://www.sec.gov/Archives/edgar/data/67347/000110465926066795/" TargetMode="External" Id="rId131"/><Relationship Type="http://schemas.openxmlformats.org/officeDocument/2006/relationships/hyperlink" Target="https://www.sec.gov/Archives/edgar/data/67347/000110465926088569/" TargetMode="External" Id="rId132"/><Relationship Type="http://schemas.openxmlformats.org/officeDocument/2006/relationships/hyperlink" Target="https://www.sec.gov/Archives/edgar/data/67347/000110465926088569/" TargetMode="External" Id="rId133"/><Relationship Type="http://schemas.openxmlformats.org/officeDocument/2006/relationships/hyperlink" Target="https://www.sec.gov/Archives/edgar/data/67347/000110465926088569/" TargetMode="External" Id="rId134"/><Relationship Type="http://schemas.openxmlformats.org/officeDocument/2006/relationships/hyperlink" Target="https://www.sec.gov/Archives/edgar/data/67347/000110465926066795/" TargetMode="External" Id="rId135"/><Relationship Type="http://schemas.openxmlformats.org/officeDocument/2006/relationships/hyperlink" Target="https://www.sec.gov/Archives/edgar/data/67347/000110465926066795/" TargetMode="External" Id="rId136"/><Relationship Type="http://schemas.openxmlformats.org/officeDocument/2006/relationships/hyperlink" Target="https://www.sec.gov/Archives/edgar/data/67347/000110465926066795/" TargetMode="External" Id="rId137"/><Relationship Type="http://schemas.openxmlformats.org/officeDocument/2006/relationships/hyperlink" Target="https://www.sec.gov/Archives/edgar/data/67347/000110465926088569/" TargetMode="External" Id="rId138"/><Relationship Type="http://schemas.openxmlformats.org/officeDocument/2006/relationships/hyperlink" Target="https://www.sec.gov/Archives/edgar/data/67347/000110465926088569/" TargetMode="External" Id="rId139"/><Relationship Type="http://schemas.openxmlformats.org/officeDocument/2006/relationships/hyperlink" Target="https://www.sec.gov/Archives/edgar/data/67347/000110465926088569/" TargetMode="External" Id="rId140"/><Relationship Type="http://schemas.openxmlformats.org/officeDocument/2006/relationships/hyperlink" Target="https://www.sec.gov/Archives/edgar/data/67347/000110465926066795/" TargetMode="External" Id="rId141"/><Relationship Type="http://schemas.openxmlformats.org/officeDocument/2006/relationships/hyperlink" Target="https://www.sec.gov/Archives/edgar/data/67347/000110465926066795/" TargetMode="External" Id="rId142"/><Relationship Type="http://schemas.openxmlformats.org/officeDocument/2006/relationships/hyperlink" Target="https://www.sec.gov/Archives/edgar/data/67347/000110465926066795/" TargetMode="External" Id="rId143"/><Relationship Type="http://schemas.openxmlformats.org/officeDocument/2006/relationships/hyperlink" Target="https://www.sec.gov/Archives/edgar/data/67347/000110465926088569/" TargetMode="External" Id="rId144"/><Relationship Type="http://schemas.openxmlformats.org/officeDocument/2006/relationships/hyperlink" Target="https://www.sec.gov/Archives/edgar/data/67347/000110465926088569/" TargetMode="External" Id="rId145"/><Relationship Type="http://schemas.openxmlformats.org/officeDocument/2006/relationships/hyperlink" Target="https://www.sec.gov/Archives/edgar/data/67347/000110465926088569/" TargetMode="External" Id="rId146"/><Relationship Type="http://schemas.openxmlformats.org/officeDocument/2006/relationships/hyperlink" Target="https://www.sec.gov/Archives/edgar/data/67347/000110465926066795/" TargetMode="External" Id="rId147"/><Relationship Type="http://schemas.openxmlformats.org/officeDocument/2006/relationships/hyperlink" Target="https://www.sec.gov/Archives/edgar/data/67347/000110465926066795/" TargetMode="External" Id="rId148"/><Relationship Type="http://schemas.openxmlformats.org/officeDocument/2006/relationships/hyperlink" Target="https://www.sec.gov/Archives/edgar/data/67347/000110465926066795/" TargetMode="External" Id="rId149"/><Relationship Type="http://schemas.openxmlformats.org/officeDocument/2006/relationships/hyperlink" Target="https://www.sec.gov/Archives/edgar/data/67347/000110465926088569/" TargetMode="External" Id="rId150"/><Relationship Type="http://schemas.openxmlformats.org/officeDocument/2006/relationships/hyperlink" Target="https://www.sec.gov/Archives/edgar/data/67347/000110465926088569/" TargetMode="External" Id="rId151"/><Relationship Type="http://schemas.openxmlformats.org/officeDocument/2006/relationships/hyperlink" Target="https://www.sec.gov/Archives/edgar/data/67347/000110465926088569/" TargetMode="External" Id="rId152"/><Relationship Type="http://schemas.openxmlformats.org/officeDocument/2006/relationships/hyperlink" Target="https://www.sec.gov/Archives/edgar/data/67347/000110465926088569/" TargetMode="External" Id="rId153"/><Relationship Type="http://schemas.openxmlformats.org/officeDocument/2006/relationships/hyperlink" Target="https://www.sec.gov/Archives/edgar/data/67347/000110465926088569/" TargetMode="External" Id="rId154"/><Relationship Type="http://schemas.openxmlformats.org/officeDocument/2006/relationships/hyperlink" Target="https://www.sec.gov/Archives/edgar/data/67347/000110465926088569/" TargetMode="External" Id="rId155"/><Relationship Type="http://schemas.openxmlformats.org/officeDocument/2006/relationships/hyperlink" Target="https://www.sec.gov/Archives/edgar/data/67347/000110465926088569/" TargetMode="External" Id="rId156"/><Relationship Type="http://schemas.openxmlformats.org/officeDocument/2006/relationships/hyperlink" Target="https://www.sec.gov/Archives/edgar/data/67347/000110465926088569/" TargetMode="External" Id="rId157"/><Relationship Type="http://schemas.openxmlformats.org/officeDocument/2006/relationships/hyperlink" Target="https://www.sec.gov/Archives/edgar/data/67347/000110465926088569/" TargetMode="External" Id="rId158"/><Relationship Type="http://schemas.openxmlformats.org/officeDocument/2006/relationships/hyperlink" Target="https://www.sec.gov/Archives/edgar/data/67347/000110465926088569/" TargetMode="Externa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MOD standard model (trial) · research run 2026-10-23</t>
        </is>
      </c>
    </row>
    <row r="2">
      <c r="A2" s="2" t="inlineStr">
        <is>
          <t>The supervisor's reconciled assumption set as a live model. Trial: shown beside the blended page target, not used for trade levels until its weight is decided. Edit blue cells on Model (drivers) and Valuation (assumptions).</t>
        </is>
      </c>
    </row>
    <row r="3">
      <c r="A3" s="3" t="inlineStr">
        <is>
          <t>Price target box</t>
        </is>
      </c>
      <c r="B3" s="3" t="inlineStr">
        <is>
          <t>Value</t>
        </is>
      </c>
    </row>
    <row r="4">
      <c r="A4" t="inlineStr">
        <is>
          <t>Live price</t>
        </is>
      </c>
      <c r="B4" s="4">
        <f>IFERROR(GOOGLEFINANCE("MOD","price"),Valuation!$B$67)</f>
        <v/>
      </c>
    </row>
    <row r="5">
      <c r="A5" t="inlineStr">
        <is>
          <t>Price as of</t>
        </is>
      </c>
      <c r="B5" s="5">
        <f>NOW()</f>
        <v/>
      </c>
    </row>
    <row r="6">
      <c r="A6" t="inlineStr">
        <is>
          <t>Model target (12-month median)</t>
        </is>
      </c>
      <c r="B6" s="6">
        <f>Distribution!$B$13</f>
        <v/>
      </c>
    </row>
    <row r="7">
      <c r="A7" t="inlineStr">
        <is>
          <t>Upside to model target from live price</t>
        </is>
      </c>
      <c r="B7" s="7">
        <f>B6/B4-1</f>
        <v/>
      </c>
    </row>
    <row r="8">
      <c r="A8" t="inlineStr">
        <is>
          <t>Research target (12m) (no scenario deltas)</t>
        </is>
      </c>
      <c r="B8" s="4">
        <f>Valuation!$D$7</f>
        <v/>
      </c>
    </row>
    <row r="9">
      <c r="A9" t="inlineStr">
        <is>
          <t>Probability-weighted mean</t>
        </is>
      </c>
      <c r="B9" s="4">
        <f>Distribution!$B$10</f>
        <v/>
      </c>
    </row>
    <row r="10">
      <c r="A10" t="inlineStr">
        <is>
          <t>10th percentile</t>
        </is>
      </c>
      <c r="B10" s="4">
        <f>Distribution!$B$14</f>
        <v/>
      </c>
    </row>
    <row r="11">
      <c r="A11" t="inlineStr">
        <is>
          <t>25th percentile</t>
        </is>
      </c>
      <c r="B11" s="4">
        <f>Distribution!$B$15</f>
        <v/>
      </c>
    </row>
    <row r="12">
      <c r="A12" t="inlineStr">
        <is>
          <t>75th percentile</t>
        </is>
      </c>
      <c r="B12" s="4">
        <f>Distribution!$B$16</f>
        <v/>
      </c>
    </row>
    <row r="13">
      <c r="A13" t="inlineStr">
        <is>
          <t>90th percentile</t>
        </is>
      </c>
      <c r="B13" s="4">
        <f>Distribution!$B$17</f>
        <v/>
      </c>
    </row>
    <row r="14">
      <c r="A14" t="inlineStr">
        <is>
          <t>Target date</t>
        </is>
      </c>
      <c r="B14" s="8">
        <f>Valuation!$B$45</f>
        <v/>
      </c>
    </row>
    <row r="15">
      <c r="A15" t="inlineStr">
        <is>
          <t>Price at the run</t>
        </is>
      </c>
      <c r="B15" s="4">
        <f>Valuation!$B$67</f>
        <v/>
      </c>
    </row>
    <row r="16">
      <c r="A16" t="inlineStr">
        <is>
          <t>Blended page target (options 67% + agents 33%, not live)</t>
        </is>
      </c>
      <c r="B16" s="9" t="n">
        <v>139.5297</v>
      </c>
    </row>
    <row r="17">
      <c r="A17" t="inlineStr">
        <is>
          <t>Supervisor research target (12m) (its own methods)</t>
        </is>
      </c>
      <c r="B17" s="9" t="n">
        <v>169.01</v>
      </c>
    </row>
    <row r="18">
      <c r="A18" t="inlineStr">
        <is>
          <t>Thesis break price (supervisor)</t>
        </is>
      </c>
      <c r="B18" s="9" t="n">
        <v>125</v>
      </c>
    </row>
    <row r="19">
      <c r="A19" t="inlineStr">
        <is>
          <t>Supervisor confidence</t>
        </is>
      </c>
      <c r="B19" t="inlineStr">
        <is>
          <t>low</t>
        </is>
      </c>
    </row>
    <row r="21">
      <c r="A21" s="3" t="inlineStr">
        <is>
          <t>Key estimates</t>
        </is>
      </c>
      <c r="B21" s="3" t="inlineStr">
        <is>
          <t>FY2026A</t>
        </is>
      </c>
      <c r="C21" s="3">
        <f>Model!E5</f>
        <v/>
      </c>
      <c r="D21" s="3">
        <f>Model!F5</f>
        <v/>
      </c>
    </row>
    <row r="22">
      <c r="A22" t="inlineStr">
        <is>
          <t>Net sales</t>
        </is>
      </c>
      <c r="B22" s="10">
        <f>IF(Model!D24="","",Model!D24)</f>
        <v/>
      </c>
      <c r="C22" s="10">
        <f>Model!E24</f>
        <v/>
      </c>
      <c r="D22" s="10">
        <f>Model!F24</f>
        <v/>
      </c>
    </row>
    <row r="23">
      <c r="A23" s="11" t="inlineStr">
        <is>
          <t xml:space="preserve">  % YoY</t>
        </is>
      </c>
      <c r="B23" s="12">
        <f>IF(Model!D25="","",Model!D25)</f>
        <v/>
      </c>
      <c r="C23" s="12">
        <f>Model!E25</f>
        <v/>
      </c>
      <c r="D23" s="12">
        <f>Model!F25</f>
        <v/>
      </c>
    </row>
    <row r="24">
      <c r="A24" t="inlineStr">
        <is>
          <t>Pretax margin</t>
        </is>
      </c>
      <c r="B24" s="12">
        <f>IF(Model!D35="","",Model!D35)</f>
        <v/>
      </c>
      <c r="C24" s="12">
        <f>Model!E35</f>
        <v/>
      </c>
      <c r="D24" s="12">
        <f>Model!F35</f>
        <v/>
      </c>
    </row>
    <row r="25">
      <c r="A25" t="inlineStr">
        <is>
          <t>Diluted EPS (model)</t>
        </is>
      </c>
      <c r="B25" s="13">
        <f>IF(Model!D42="","",Model!D42)</f>
        <v/>
      </c>
      <c r="C25" s="13">
        <f>Model!E42</f>
        <v/>
      </c>
      <c r="D25" s="13">
        <f>Model!F42</f>
        <v/>
      </c>
    </row>
    <row r="26">
      <c r="A26" s="11" t="inlineStr">
        <is>
          <t xml:space="preserve">  % YoY</t>
        </is>
      </c>
      <c r="B26" s="12">
        <f>IF(Model!D43="","",Model!D43)</f>
        <v/>
      </c>
      <c r="C26" s="12">
        <f>Model!E43</f>
        <v/>
      </c>
      <c r="D26" s="12">
        <f>Model!F43</f>
        <v/>
      </c>
    </row>
    <row r="27">
      <c r="A27" t="inlineStr">
        <is>
          <t>Free cash flow to firm</t>
        </is>
      </c>
      <c r="B27" s="10">
        <f>IF(Model!D52="","",Model!D52)</f>
        <v/>
      </c>
      <c r="C27" s="10">
        <f>Model!E52</f>
        <v/>
      </c>
      <c r="D27" s="10">
        <f>Model!F52</f>
        <v/>
      </c>
    </row>
    <row r="29">
      <c r="A29" s="3" t="inlineStr">
        <is>
          <t>Valuation method</t>
        </is>
      </c>
      <c r="B29" s="3" t="inlineStr">
        <is>
          <t>Value per share</t>
        </is>
      </c>
      <c r="C29" s="3" t="inlineStr">
        <is>
          <t>Weight</t>
        </is>
      </c>
    </row>
    <row r="30">
      <c r="A30" s="14">
        <f>Valuation!A4</f>
        <v/>
      </c>
      <c r="B30" s="4">
        <f>Valuation!D4</f>
        <v/>
      </c>
      <c r="C30" s="12">
        <f>Valuation!E4</f>
        <v/>
      </c>
    </row>
    <row r="31">
      <c r="A31" s="14">
        <f>Valuation!A5</f>
        <v/>
      </c>
      <c r="B31" s="4">
        <f>Valuation!D5</f>
        <v/>
      </c>
      <c r="C31" s="12">
        <f>Valuation!E5</f>
        <v/>
      </c>
    </row>
    <row r="32">
      <c r="A32" s="14">
        <f>Valuation!A6</f>
        <v/>
      </c>
      <c r="B32" s="4">
        <f>Valuation!D6</f>
        <v/>
      </c>
      <c r="C32" s="12">
        <f>Valuation!E6</f>
        <v/>
      </c>
    </row>
    <row r="34">
      <c r="A34" s="3" t="inlineStr">
        <is>
          <t>Scenario</t>
        </is>
      </c>
      <c r="B34" s="3" t="inlineStr">
        <is>
          <t>Probability</t>
        </is>
      </c>
      <c r="C34" s="3" t="inlineStr">
        <is>
          <t>Value at target date</t>
        </is>
      </c>
      <c r="D34" s="3" t="inlineStr">
        <is>
          <t>What has to happen</t>
        </is>
      </c>
    </row>
    <row r="35">
      <c r="A35" s="14">
        <f>Distribution!A4</f>
        <v/>
      </c>
      <c r="B35" s="12">
        <f>Distribution!B4</f>
        <v/>
      </c>
      <c r="C35" s="4">
        <f>Distribution!C4</f>
        <v/>
      </c>
      <c r="D35" s="15">
        <f>Distribution!D4</f>
        <v/>
      </c>
    </row>
    <row r="36">
      <c r="A36" s="14">
        <f>Distribution!A5</f>
        <v/>
      </c>
      <c r="B36" s="12">
        <f>Distribution!B5</f>
        <v/>
      </c>
      <c r="C36" s="4">
        <f>Distribution!C5</f>
        <v/>
      </c>
      <c r="D36" s="15">
        <f>Distribution!D5</f>
        <v/>
      </c>
    </row>
    <row r="37">
      <c r="A37" s="14">
        <f>Distribution!A6</f>
        <v/>
      </c>
      <c r="B37" s="12">
        <f>Distribution!B6</f>
        <v/>
      </c>
      <c r="C37" s="4">
        <f>Distribution!C6</f>
        <v/>
      </c>
      <c r="D37" s="15">
        <f>Distribution!D6</f>
        <v/>
      </c>
    </row>
    <row r="39">
      <c r="A39" s="3" t="inlineStr">
        <is>
          <t>Price at target date</t>
        </is>
      </c>
      <c r="B39" s="3" t="inlineStr">
        <is>
          <t>Probability above</t>
        </is>
      </c>
    </row>
    <row r="40">
      <c r="A40" s="9">
        <f>ROUND(Valuation!$B$67*0.7,0)</f>
        <v/>
      </c>
      <c r="B40" s="16">
        <f>SUMPRODUCT(Distribution!$B$4:$B$6,1-NORMSDIST((LN(A40)-LN(Distribution!$C$4:$C$6))/Distribution!$B$9))</f>
        <v/>
      </c>
    </row>
    <row r="41">
      <c r="A41" s="9">
        <f>ROUND(Valuation!$B$67*0.8,0)</f>
        <v/>
      </c>
      <c r="B41" s="16">
        <f>SUMPRODUCT(Distribution!$B$4:$B$6,1-NORMSDIST((LN(A41)-LN(Distribution!$C$4:$C$6))/Distribution!$B$9))</f>
        <v/>
      </c>
    </row>
    <row r="42">
      <c r="A42" s="9">
        <f>ROUND(Valuation!$B$67*0.9,0)</f>
        <v/>
      </c>
      <c r="B42" s="16">
        <f>SUMPRODUCT(Distribution!$B$4:$B$6,1-NORMSDIST((LN(A42)-LN(Distribution!$C$4:$C$6))/Distribution!$B$9))</f>
        <v/>
      </c>
    </row>
    <row r="43">
      <c r="A43" s="9">
        <f>ROUND(Valuation!$B$67*1.0,0)</f>
        <v/>
      </c>
      <c r="B43" s="16">
        <f>SUMPRODUCT(Distribution!$B$4:$B$6,1-NORMSDIST((LN(A43)-LN(Distribution!$C$4:$C$6))/Distribution!$B$9))</f>
        <v/>
      </c>
    </row>
    <row r="44">
      <c r="A44" s="9">
        <f>ROUND(Valuation!$B$67*1.1,0)</f>
        <v/>
      </c>
      <c r="B44" s="16">
        <f>SUMPRODUCT(Distribution!$B$4:$B$6,1-NORMSDIST((LN(A44)-LN(Distribution!$C$4:$C$6))/Distribution!$B$9))</f>
        <v/>
      </c>
    </row>
    <row r="45">
      <c r="A45" s="9">
        <f>ROUND(Valuation!$B$67*1.2,0)</f>
        <v/>
      </c>
      <c r="B45" s="16">
        <f>SUMPRODUCT(Distribution!$B$4:$B$6,1-NORMSDIST((LN(A45)-LN(Distribution!$C$4:$C$6))/Distribution!$B$9))</f>
        <v/>
      </c>
    </row>
    <row r="46">
      <c r="A46" s="9">
        <f>ROUND(Valuation!$B$67*1.3,0)</f>
        <v/>
      </c>
      <c r="B46" s="16">
        <f>SUMPRODUCT(Distribution!$B$4:$B$6,1-NORMSDIST((LN(A46)-LN(Distribution!$C$4:$C$6))/Distribution!$B$9))</f>
        <v/>
      </c>
    </row>
    <row r="47">
      <c r="A47" s="9">
        <f>ROUND(Valuation!$B$67*1.5,0)</f>
        <v/>
      </c>
      <c r="B47" s="16">
        <f>SUMPRODUCT(Distribution!$B$4:$B$6,1-NORMSDIST((LN(A47)-LN(Distribution!$C$4:$C$6))/Distribution!$B$9))</f>
        <v/>
      </c>
    </row>
    <row r="49">
      <c r="A49" s="3" t="inlineStr">
        <is>
          <t>Model checks</t>
        </is>
      </c>
      <c r="B49" s="3" t="inlineStr">
        <is>
          <t>Status</t>
        </is>
      </c>
    </row>
    <row r="50">
      <c r="A50" t="inlineStr">
        <is>
          <t>Scenario probabilities sum to 100%</t>
        </is>
      </c>
      <c r="B50">
        <f>IF(ABS(Distribution!B8-1)&lt;0.005,"ok","FLAG: "&amp;TEXT(Distribution!B8,"0.0%"))</f>
        <v/>
      </c>
    </row>
    <row r="51">
      <c r="A51" t="inlineStr">
        <is>
          <t>WACC exceeds terminal growth by 1 point or more</t>
        </is>
      </c>
      <c r="B51">
        <f>IF('Calc - research target (12m)'!B55="ok","ok","FLAG")</f>
        <v/>
      </c>
    </row>
    <row r="52">
      <c r="A52" t="inlineStr">
        <is>
          <t>Projection runs a full year past the target date</t>
        </is>
      </c>
      <c r="B52">
        <f>IF('Calc - research target (12m)'!B56="ok","ok","FLAG")</f>
        <v/>
      </c>
    </row>
    <row r="53">
      <c r="A53" t="inlineStr">
        <is>
          <t>Method weights add up to more than zero</t>
        </is>
      </c>
      <c r="B53">
        <f>IF(SUM(Valuation!E4:E6)&gt;0,"ok","FLAG")</f>
        <v/>
      </c>
    </row>
    <row r="54">
      <c r="A54" t="inlineStr">
        <is>
          <t>Terminal value under 85% of the DCF</t>
        </is>
      </c>
      <c r="B54">
        <f>IF('Calc - research target (12m)'!B46&lt;0.85,"ok","note: "&amp;TEXT('Calc - research target (12m)'!B46,"0%")&amp;" of the DCF is terminal value")</f>
        <v/>
      </c>
    </row>
    <row r="55">
      <c r="A55" t="inlineStr">
        <is>
          <t>Segment base revenues tie to the last reported net sales (within 2%)</t>
        </is>
      </c>
      <c r="B55">
        <f>IF(ABS(Valuation!$B$90/Valuation!$B$50-1)&lt;=0.02,"ok","FLAG")</f>
        <v/>
      </c>
    </row>
    <row r="56">
      <c r="A56" t="inlineStr">
        <is>
          <t>Matches the engine run at publication (target, research target (12m))</t>
        </is>
      </c>
      <c r="B56">
        <f>IF(AND(ABS(Distribution!$B$13-168.7888)&lt;0.01,ABS(Valuation!$D$7-169.0132)&lt;0.01),"ok","inputs edited since publication")</f>
        <v/>
      </c>
    </row>
    <row r="57">
      <c r="A57" s="17" t="inlineStr">
        <is>
          <t>All checks</t>
        </is>
      </c>
      <c r="B57" s="17">
        <f>IF(COUNTIF(B50:B56,"ok")=7,"all ok",7-COUNTIF(B50:B56,"ok")&amp;" to look at")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MOD: annual model, base case</t>
        </is>
      </c>
    </row>
    <row r="2">
      <c r="A2" s="2" t="inlineStr">
        <is>
          <t>(M of US dollars except per share; fiscal years named by the calendar year they end in)</t>
        </is>
      </c>
    </row>
    <row r="3">
      <c r="A3" s="2" t="inlineStr">
        <is>
          <t>Blue = input · black = formula · green = link to another tab · actuals from SEC filings (fact ids in the last column, links on Sources)</t>
        </is>
      </c>
    </row>
    <row r="5">
      <c r="A5" s="3" t="inlineStr">
        <is>
          <t>Fiscal year</t>
        </is>
      </c>
      <c r="B5" s="3" t="inlineStr">
        <is>
          <t>FY2024A</t>
        </is>
      </c>
      <c r="C5" s="3" t="inlineStr">
        <is>
          <t>FY2025A</t>
        </is>
      </c>
      <c r="D5" s="3" t="inlineStr">
        <is>
          <t>FY2026A</t>
        </is>
      </c>
      <c r="E5" s="3" t="inlineStr">
        <is>
          <t>FY2027E</t>
        </is>
      </c>
      <c r="F5" s="3" t="inlineStr">
        <is>
          <t>FY2028E</t>
        </is>
      </c>
      <c r="G5" s="3" t="inlineStr">
        <is>
          <t>FY2029E</t>
        </is>
      </c>
      <c r="H5" s="3" t="inlineStr">
        <is>
          <t>Source / note</t>
        </is>
      </c>
    </row>
    <row r="6">
      <c r="A6" t="inlineStr">
        <is>
          <t>Period end</t>
        </is>
      </c>
      <c r="B6" s="18" t="n">
        <v>45382</v>
      </c>
      <c r="C6" s="18" t="n">
        <v>45747</v>
      </c>
      <c r="D6" s="18" t="n">
        <v>46112</v>
      </c>
      <c r="E6" s="18">
        <f>IF(DAY(Valuation!$B$49+1)=1,EOMONTH(Valuation!$B$49,12*E7),EDATE(Valuation!$B$49,12*E7))</f>
        <v/>
      </c>
      <c r="F6" s="18">
        <f>IF(DAY(Valuation!$B$49+1)=1,EOMONTH(Valuation!$B$49,12*F7),EDATE(Valuation!$B$49,12*F7))</f>
        <v/>
      </c>
      <c r="G6" s="18">
        <f>IF(DAY(Valuation!$B$49+1)=1,EOMONTH(Valuation!$B$49,12*G7),EDATE(Valuation!$B$49,12*G7))</f>
        <v/>
      </c>
    </row>
    <row r="7">
      <c r="A7" t="inlineStr">
        <is>
          <t>Projection year</t>
        </is>
      </c>
      <c r="B7" t="n">
        <v>-2</v>
      </c>
      <c r="C7" t="n">
        <v>-1</v>
      </c>
      <c r="D7" t="n">
        <v>0</v>
      </c>
      <c r="E7" t="n">
        <v>1</v>
      </c>
      <c r="F7" t="n">
        <v>2</v>
      </c>
      <c r="G7" t="n">
        <v>3</v>
      </c>
    </row>
    <row r="10">
      <c r="A10" s="19" t="inlineStr">
        <is>
          <t>Segment build (blue = input: revenue growth and EBIT margin by segment and year)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t="inlineStr">
        <is>
          <t>Data Centers</t>
        </is>
      </c>
      <c r="D11" s="10">
        <f>Valuation!$B$88</f>
        <v/>
      </c>
      <c r="E11" s="21">
        <f>Valuation!$B$88*(1+E12)</f>
        <v/>
      </c>
      <c r="F11" s="21">
        <f>E11*(1+F12)</f>
        <v/>
      </c>
      <c r="G11" s="21">
        <f>F11*(1+G12)</f>
        <v/>
      </c>
    </row>
    <row r="12">
      <c r="A12" s="11" t="inlineStr">
        <is>
          <t xml:space="preserve">  Revenue growth</t>
        </is>
      </c>
      <c r="E12" s="22" t="n">
        <v>0.6499729290741743</v>
      </c>
      <c r="F12" s="22" t="n">
        <v>0.4164615805304894</v>
      </c>
      <c r="G12" s="22" t="n">
        <v>0.2007722007722008</v>
      </c>
    </row>
    <row r="13">
      <c r="A13" t="inlineStr">
        <is>
          <t xml:space="preserve">  Segment EBIT</t>
        </is>
      </c>
      <c r="E13" s="21">
        <f>E11*E14</f>
        <v/>
      </c>
      <c r="F13" s="21">
        <f>F11*F14</f>
        <v/>
      </c>
      <c r="G13" s="21">
        <f>G11*G14</f>
        <v/>
      </c>
    </row>
    <row r="14">
      <c r="A14" s="11" t="inlineStr">
        <is>
          <t xml:space="preserve">  EBIT margin</t>
        </is>
      </c>
      <c r="E14" s="22" t="n">
        <v>0.1742</v>
      </c>
      <c r="F14" s="22" t="n">
        <v>0.1772</v>
      </c>
      <c r="G14" s="22" t="n">
        <v>0.1772</v>
      </c>
    </row>
    <row r="15">
      <c r="A15" t="inlineStr">
        <is>
          <t>Commercial HVAC</t>
        </is>
      </c>
      <c r="D15" s="10">
        <f>Valuation!$B$89</f>
        <v/>
      </c>
      <c r="E15" s="21">
        <f>Valuation!$B$89*(1+E16)</f>
        <v/>
      </c>
      <c r="F15" s="21">
        <f>E15*(1+F16)</f>
        <v/>
      </c>
      <c r="G15" s="21">
        <f>F15*(1+G16)</f>
        <v/>
      </c>
    </row>
    <row r="16">
      <c r="A16" s="11" t="inlineStr">
        <is>
          <t xml:space="preserve">  Revenue growth</t>
        </is>
      </c>
      <c r="E16" s="22" t="n">
        <v>0.06798110494968168</v>
      </c>
      <c r="F16" s="22" t="n">
        <v>0.05769230769230771</v>
      </c>
      <c r="G16" s="22" t="n">
        <v>0.06363636363636371</v>
      </c>
    </row>
    <row r="17">
      <c r="A17" t="inlineStr">
        <is>
          <t xml:space="preserve">  Segment EBIT</t>
        </is>
      </c>
      <c r="E17" s="21">
        <f>E15*E18</f>
        <v/>
      </c>
      <c r="F17" s="21">
        <f>F15*F18</f>
        <v/>
      </c>
      <c r="G17" s="21">
        <f>G15*G18</f>
        <v/>
      </c>
    </row>
    <row r="18">
      <c r="A18" s="11" t="inlineStr">
        <is>
          <t xml:space="preserve">  EBIT margin</t>
        </is>
      </c>
      <c r="E18" s="22" t="n">
        <v>0.1422</v>
      </c>
      <c r="F18" s="22" t="n">
        <v>0.1447</v>
      </c>
      <c r="G18" s="22" t="n">
        <v>0.1447</v>
      </c>
    </row>
    <row r="19">
      <c r="A19" t="inlineStr">
        <is>
          <t>Total segment revenue (= net sales)</t>
        </is>
      </c>
      <c r="D19" s="23">
        <f>D11+D15</f>
        <v/>
      </c>
      <c r="E19" s="23">
        <f>E11+E15</f>
        <v/>
      </c>
      <c r="F19" s="23">
        <f>F11+F15</f>
        <v/>
      </c>
      <c r="G19" s="23">
        <f>G11+G15</f>
        <v/>
      </c>
      <c r="H19" s="2" t="inlineStr">
        <is>
          <t>base revenues on Valuation (segment build); net sales = this total</t>
        </is>
      </c>
    </row>
    <row r="20">
      <c r="A20" t="inlineStr">
        <is>
          <t>Total segment EBIT</t>
        </is>
      </c>
      <c r="E20" s="23">
        <f>E13+E17</f>
        <v/>
      </c>
      <c r="F20" s="23">
        <f>F13+F17</f>
        <v/>
      </c>
      <c r="G20" s="23">
        <f>G13+G17</f>
        <v/>
      </c>
    </row>
    <row r="21">
      <c r="A21" t="inlineStr">
        <is>
          <t>Corporate / unallocated EBIT (blue = input)</t>
        </is>
      </c>
      <c r="E21" s="24" t="n">
        <v>-80</v>
      </c>
      <c r="F21" s="24" t="n">
        <v>-82</v>
      </c>
      <c r="G21" s="24" t="n">
        <v>-85</v>
      </c>
      <c r="H21" s="2" t="inlineStr">
        <is>
          <t>years[].corporate_ebit; EBIT = total segment EBIT + corporate</t>
        </is>
      </c>
    </row>
    <row r="23">
      <c r="A23" s="19" t="inlineStr">
        <is>
          <t>Sales</t>
        </is>
      </c>
      <c r="B23" s="20" t="n"/>
      <c r="C23" s="20" t="n"/>
      <c r="D23" s="20" t="n"/>
      <c r="E23" s="20" t="n"/>
      <c r="F23" s="20" t="n"/>
      <c r="G23" s="20" t="n"/>
      <c r="H23" s="20" t="n"/>
    </row>
    <row r="24">
      <c r="A24" s="17" t="inlineStr">
        <is>
          <t>Net sales</t>
        </is>
      </c>
      <c r="B24" s="21" t="n">
        <v>2407.8</v>
      </c>
      <c r="C24" s="21" t="n">
        <v>2583.5</v>
      </c>
      <c r="D24" s="21" t="n">
        <v>3181.1</v>
      </c>
      <c r="E24" s="23">
        <f>E19</f>
        <v/>
      </c>
      <c r="F24" s="23">
        <f>F19</f>
        <v/>
      </c>
      <c r="G24" s="23">
        <f>G19</f>
        <v/>
      </c>
      <c r="H24" s="2" t="inlineStr">
        <is>
          <t>SEC XBRL F1, F2, F3</t>
        </is>
      </c>
    </row>
    <row r="25">
      <c r="A25" s="11" t="inlineStr">
        <is>
          <t xml:space="preserve">  % YoY</t>
        </is>
      </c>
      <c r="C25" s="25">
        <f>IF(OR(C24="",B24="",B24=0),"",C24/B24-1)</f>
        <v/>
      </c>
      <c r="D25" s="25">
        <f>IF(OR(D24="",C24="",C24=0),"",D24/C24-1)</f>
        <v/>
      </c>
      <c r="E25" s="25">
        <f>E24/Valuation!$B$50-1</f>
        <v/>
      </c>
      <c r="F25" s="25">
        <f>F24/E24-1</f>
        <v/>
      </c>
      <c r="G25" s="25">
        <f>G24/F24-1</f>
        <v/>
      </c>
    </row>
    <row r="27">
      <c r="A27" s="19" t="inlineStr">
        <is>
          <t>Operating profit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>
      <c r="A28" t="inlineStr">
        <is>
          <t>EBIT (operating income)</t>
        </is>
      </c>
      <c r="E28" s="21">
        <f>E20+E21</f>
        <v/>
      </c>
      <c r="F28" s="21">
        <f>F20+F21</f>
        <v/>
      </c>
      <c r="G28" s="21">
        <f>G20+G21</f>
        <v/>
      </c>
    </row>
    <row r="29">
      <c r="A29" s="11" t="inlineStr">
        <is>
          <t xml:space="preserve">  EBIT margin</t>
        </is>
      </c>
      <c r="E29" s="25">
        <f>E28/E24</f>
        <v/>
      </c>
      <c r="F29" s="25">
        <f>F28/F24</f>
        <v/>
      </c>
      <c r="G29" s="25">
        <f>G28/G24</f>
        <v/>
      </c>
    </row>
    <row r="30">
      <c r="A30" t="inlineStr">
        <is>
          <t>D&amp;A</t>
        </is>
      </c>
      <c r="B30" s="21" t="n">
        <v>56.1</v>
      </c>
      <c r="C30" s="21" t="n">
        <v>77.7</v>
      </c>
      <c r="D30" s="21" t="n">
        <v>79.7</v>
      </c>
      <c r="E30" s="21">
        <f>E24*E64</f>
        <v/>
      </c>
      <c r="F30" s="21">
        <f>F24*F64</f>
        <v/>
      </c>
      <c r="G30" s="21">
        <f>G24*G64</f>
        <v/>
      </c>
      <c r="H30" s="2" t="inlineStr">
        <is>
          <t>SEC XBRL F34, F35, F36</t>
        </is>
      </c>
    </row>
    <row r="31">
      <c r="A31" t="inlineStr">
        <is>
          <t>EBITDA</t>
        </is>
      </c>
      <c r="E31" s="21">
        <f>E28+E30</f>
        <v/>
      </c>
      <c r="F31" s="21">
        <f>F28+F30</f>
        <v/>
      </c>
      <c r="G31" s="21">
        <f>G28+G30</f>
        <v/>
      </c>
    </row>
    <row r="32">
      <c r="A32" s="11" t="inlineStr">
        <is>
          <t xml:space="preserve">  EBITDA margin</t>
        </is>
      </c>
      <c r="E32" s="25">
        <f>E31/E24</f>
        <v/>
      </c>
      <c r="F32" s="25">
        <f>F31/F24</f>
        <v/>
      </c>
      <c r="G32" s="25">
        <f>G31/G24</f>
        <v/>
      </c>
    </row>
    <row r="33">
      <c r="A33" t="inlineStr">
        <is>
          <t>Net interest income / (expense)</t>
        </is>
      </c>
      <c r="E33" s="21">
        <f>-Valuation!$B$58*Valuation!$B$56</f>
        <v/>
      </c>
      <c r="F33" s="21">
        <f>-Valuation!$B$58*E58</f>
        <v/>
      </c>
      <c r="G33" s="21">
        <f>-Valuation!$B$58*F58</f>
        <v/>
      </c>
      <c r="H33" s="2" t="inlineStr">
        <is>
          <t>rate x prior year-end net debt (memo roll)</t>
        </is>
      </c>
    </row>
    <row r="34">
      <c r="A34" s="17" t="inlineStr">
        <is>
          <t>Pretax income</t>
        </is>
      </c>
      <c r="B34" s="21" t="n">
        <v>214.6</v>
      </c>
      <c r="C34" s="21" t="n">
        <v>254</v>
      </c>
      <c r="D34" s="21" t="n">
        <v>186.5</v>
      </c>
      <c r="E34" s="23">
        <f>E28+E33</f>
        <v/>
      </c>
      <c r="F34" s="23">
        <f>F28+F33</f>
        <v/>
      </c>
      <c r="G34" s="23">
        <f>G28+G33</f>
        <v/>
      </c>
      <c r="H34" s="2" t="inlineStr">
        <is>
          <t>SEC XBRL F83, F84, F85</t>
        </is>
      </c>
    </row>
    <row r="35">
      <c r="A35" s="11" t="inlineStr">
        <is>
          <t xml:space="preserve">  Pretax margin</t>
        </is>
      </c>
      <c r="B35" s="25">
        <f>B34/B24</f>
        <v/>
      </c>
      <c r="C35" s="25">
        <f>C34/C24</f>
        <v/>
      </c>
      <c r="D35" s="25">
        <f>D34/D24</f>
        <v/>
      </c>
      <c r="E35" s="25">
        <f>E34/E24</f>
        <v/>
      </c>
      <c r="F35" s="25">
        <f>F34/F24</f>
        <v/>
      </c>
      <c r="G35" s="25">
        <f>G34/G24</f>
        <v/>
      </c>
    </row>
    <row r="36">
      <c r="A36" t="inlineStr">
        <is>
          <t>Income tax</t>
        </is>
      </c>
      <c r="B36" s="21" t="n">
        <v>51.2</v>
      </c>
      <c r="C36" s="21" t="n">
        <v>68.5</v>
      </c>
      <c r="D36" s="21" t="n">
        <v>63.2</v>
      </c>
      <c r="E36" s="21">
        <f>E34*E63</f>
        <v/>
      </c>
      <c r="F36" s="21">
        <f>F34*F63</f>
        <v/>
      </c>
      <c r="G36" s="21">
        <f>G34*G63</f>
        <v/>
      </c>
      <c r="H36" s="2" t="inlineStr">
        <is>
          <t>SEC XBRL F76, F77, F78</t>
        </is>
      </c>
    </row>
    <row r="37">
      <c r="A37" s="11" t="inlineStr">
        <is>
          <t xml:space="preserve">  Effective tax rate</t>
        </is>
      </c>
      <c r="B37" s="25">
        <f>B36/B34</f>
        <v/>
      </c>
      <c r="C37" s="25">
        <f>C36/C34</f>
        <v/>
      </c>
      <c r="D37" s="25">
        <f>D36/D34</f>
        <v/>
      </c>
      <c r="E37" s="25">
        <f>E36/E34</f>
        <v/>
      </c>
      <c r="F37" s="25">
        <f>F36/F34</f>
        <v/>
      </c>
      <c r="G37" s="25">
        <f>G36/G34</f>
        <v/>
      </c>
    </row>
    <row r="38">
      <c r="A38" s="17" t="inlineStr">
        <is>
          <t>Net income</t>
        </is>
      </c>
      <c r="B38" s="21" t="n">
        <v>161.5</v>
      </c>
      <c r="C38" s="21" t="n">
        <v>184</v>
      </c>
      <c r="D38" s="21" t="n">
        <v>121.5</v>
      </c>
      <c r="E38" s="23">
        <f>E34-E36</f>
        <v/>
      </c>
      <c r="F38" s="23">
        <f>F34-F36</f>
        <v/>
      </c>
      <c r="G38" s="23">
        <f>G34-G36</f>
        <v/>
      </c>
      <c r="H38" s="2" t="inlineStr">
        <is>
          <t>SEC XBRL F15, F16, F17</t>
        </is>
      </c>
    </row>
    <row r="39">
      <c r="A39" s="11" t="inlineStr">
        <is>
          <t xml:space="preserve">  % YoY</t>
        </is>
      </c>
      <c r="C39" s="25">
        <f>IF(OR(C38="",B38="",B38=0),"",C38/B38-1)</f>
        <v/>
      </c>
      <c r="D39" s="25">
        <f>IF(OR(D38="",C38="",C38=0),"",D38/C38-1)</f>
        <v/>
      </c>
      <c r="E39" s="25">
        <f>IF(OR(D38="",D38=0),"",E38/D38-1)</f>
        <v/>
      </c>
      <c r="F39" s="25">
        <f>IF(OR(E38="",E38=0),"",F38/E38-1)</f>
        <v/>
      </c>
      <c r="G39" s="25">
        <f>IF(OR(F38="",F38=0),"",G38/F38-1)</f>
        <v/>
      </c>
    </row>
    <row r="40">
      <c r="A40" t="inlineStr">
        <is>
          <t>Diluted shares (M, average)</t>
        </is>
      </c>
      <c r="B40" s="21" t="n">
        <v>53.4</v>
      </c>
      <c r="C40" s="21" t="n">
        <v>53.9</v>
      </c>
      <c r="D40" s="21" t="n">
        <v>53.8</v>
      </c>
      <c r="E40" s="26">
        <f>Valuation!$B$60*(1+Valuation!$B$62)^(E7-0.5-((Valuation!$B$61-Valuation!$B$49)/365.25))</f>
        <v/>
      </c>
      <c r="F40" s="26">
        <f>Valuation!$B$60*(1+Valuation!$B$62)^(F7-0.5-((Valuation!$B$61-Valuation!$B$49)/365.25))</f>
        <v/>
      </c>
      <c r="G40" s="26">
        <f>Valuation!$B$60*(1+Valuation!$B$62)^(G7-0.5-((Valuation!$B$61-Valuation!$B$49)/365.25))</f>
        <v/>
      </c>
      <c r="H40" s="2" t="inlineStr">
        <is>
          <t>diluted count rolled at the annual change to mid-year</t>
        </is>
      </c>
    </row>
    <row r="41">
      <c r="A41" s="11" t="inlineStr">
        <is>
          <t xml:space="preserve">  % YoY</t>
        </is>
      </c>
      <c r="C41" s="25">
        <f>IF(OR(C40="",B40="",B40=0),"",C40/B40-1)</f>
        <v/>
      </c>
      <c r="D41" s="25">
        <f>IF(OR(D40="",C40="",C40=0),"",D40/C40-1)</f>
        <v/>
      </c>
      <c r="E41" s="25">
        <f>IF(OR(D40="",D40=0),"",E40/D40-1)</f>
        <v/>
      </c>
      <c r="F41" s="25">
        <f>IF(OR(E40="",E40=0),"",F40/E40-1)</f>
        <v/>
      </c>
      <c r="G41" s="25">
        <f>IF(OR(F40="",F40=0),"",G40/F40-1)</f>
        <v/>
      </c>
    </row>
    <row r="42">
      <c r="A42" s="17" t="inlineStr">
        <is>
          <t>Diluted EPS</t>
        </is>
      </c>
      <c r="B42" s="27" t="n">
        <v>3.03</v>
      </c>
      <c r="C42" s="27" t="n">
        <v>3.42</v>
      </c>
      <c r="D42" s="27" t="n">
        <v>2.26</v>
      </c>
      <c r="E42" s="28">
        <f>E38/E40</f>
        <v/>
      </c>
      <c r="F42" s="28">
        <f>F38/F40</f>
        <v/>
      </c>
      <c r="G42" s="28">
        <f>G38/G40</f>
        <v/>
      </c>
      <c r="H42" s="2" t="inlineStr">
        <is>
          <t>SEC XBRL F22, F23, F24</t>
        </is>
      </c>
    </row>
    <row r="43">
      <c r="A43" s="11" t="inlineStr">
        <is>
          <t xml:space="preserve">  % YoY</t>
        </is>
      </c>
      <c r="C43" s="25">
        <f>IF(OR(C42="",B42="",B42=0),"",C42/B42-1)</f>
        <v/>
      </c>
      <c r="D43" s="25">
        <f>IF(OR(D42="",C42="",C42=0),"",D42/C42-1)</f>
        <v/>
      </c>
      <c r="E43" s="25">
        <f>IF(OR(D42="",D42=0),"",E42/D42-1)</f>
        <v/>
      </c>
      <c r="F43" s="25">
        <f>IF(OR(E42="",E42=0),"",F42/E42-1)</f>
        <v/>
      </c>
      <c r="G43" s="25">
        <f>IF(OR(F42="",F42=0),"",G42/F42-1)</f>
        <v/>
      </c>
    </row>
    <row r="45">
      <c r="A45" s="19" t="inlineStr">
        <is>
          <t>Cash flow</t>
        </is>
      </c>
      <c r="B45" s="20" t="n"/>
      <c r="C45" s="20" t="n"/>
      <c r="D45" s="20" t="n"/>
      <c r="E45" s="20" t="n"/>
      <c r="F45" s="20" t="n"/>
      <c r="G45" s="20" t="n"/>
      <c r="H45" s="20" t="n"/>
    </row>
    <row r="46">
      <c r="A46" t="inlineStr">
        <is>
          <t>NOPAT (EBIT x (1 - tax))</t>
        </is>
      </c>
      <c r="E46" s="21">
        <f>E28*(1-E63)</f>
        <v/>
      </c>
      <c r="F46" s="21">
        <f>F28*(1-F63)</f>
        <v/>
      </c>
      <c r="G46" s="21">
        <f>G28*(1-G63)</f>
        <v/>
      </c>
    </row>
    <row r="47">
      <c r="A47" t="inlineStr">
        <is>
          <t>+ D&amp;A</t>
        </is>
      </c>
      <c r="B47" s="21">
        <f>B30</f>
        <v/>
      </c>
      <c r="C47" s="21">
        <f>C30</f>
        <v/>
      </c>
      <c r="D47" s="21">
        <f>D30</f>
        <v/>
      </c>
      <c r="E47" s="21">
        <f>E30</f>
        <v/>
      </c>
      <c r="F47" s="21">
        <f>F30</f>
        <v/>
      </c>
      <c r="G47" s="21">
        <f>G30</f>
        <v/>
      </c>
    </row>
    <row r="48">
      <c r="A48" t="inlineStr">
        <is>
          <t>- Capex</t>
        </is>
      </c>
      <c r="B48" s="21" t="n">
        <v>87.7</v>
      </c>
      <c r="C48" s="21" t="n">
        <v>84</v>
      </c>
      <c r="D48" s="21" t="n">
        <v>143.3</v>
      </c>
      <c r="E48" s="21">
        <f>E24*E65</f>
        <v/>
      </c>
      <c r="F48" s="21">
        <f>F24*F65</f>
        <v/>
      </c>
      <c r="G48" s="21">
        <f>G24*G65</f>
        <v/>
      </c>
      <c r="H48" s="2" t="inlineStr">
        <is>
          <t>SEC XBRL F55, F56, F57</t>
        </is>
      </c>
    </row>
    <row r="49">
      <c r="A49" s="11" t="inlineStr">
        <is>
          <t xml:space="preserve">  Capex % of sales</t>
        </is>
      </c>
      <c r="B49" s="25">
        <f>B48/B24</f>
        <v/>
      </c>
      <c r="C49" s="25">
        <f>C48/C24</f>
        <v/>
      </c>
      <c r="D49" s="25">
        <f>D48/D24</f>
        <v/>
      </c>
      <c r="E49" s="25">
        <f>E48/E24</f>
        <v/>
      </c>
      <c r="F49" s="25">
        <f>F48/F24</f>
        <v/>
      </c>
      <c r="G49" s="25">
        <f>G48/G24</f>
        <v/>
      </c>
    </row>
    <row r="50">
      <c r="A50" t="inlineStr">
        <is>
          <t>- Working capital increase</t>
        </is>
      </c>
      <c r="E50" s="21">
        <f>E66*(E24-Valuation!$B$50)</f>
        <v/>
      </c>
      <c r="F50" s="21">
        <f>F66*(F24-E24)</f>
        <v/>
      </c>
      <c r="G50" s="21">
        <f>G66*(G24-F24)</f>
        <v/>
      </c>
    </row>
    <row r="51">
      <c r="A51" t="inlineStr">
        <is>
          <t>- Stock comp (adjusted EBIT only)</t>
        </is>
      </c>
      <c r="E51" s="21">
        <f>IF(AND(Valuation!$B$47="adjusted",Valuation!$B$48="cost"),E55*(1-E63),0)</f>
        <v/>
      </c>
      <c r="F51" s="21">
        <f>IF(AND(Valuation!$B$47="adjusted",Valuation!$B$48="cost"),F55*(1-F63),0)</f>
        <v/>
      </c>
      <c r="G51" s="21">
        <f>IF(AND(Valuation!$B$47="adjusted",Valuation!$B$48="cost"),G55*(1-G63),0)</f>
        <v/>
      </c>
    </row>
    <row r="52">
      <c r="A52" s="17" t="inlineStr">
        <is>
          <t>Free cash flow to firm</t>
        </is>
      </c>
      <c r="E52" s="23">
        <f>E46+E47-E48-E50-E51</f>
        <v/>
      </c>
      <c r="F52" s="23">
        <f>F46+F47-F48-F50-F51</f>
        <v/>
      </c>
      <c r="G52" s="23">
        <f>G46+G47-G48-G50-G51</f>
        <v/>
      </c>
      <c r="H52" s="2" t="inlineStr">
        <is>
          <t>what the DCF discounts (Calc tabs)</t>
        </is>
      </c>
    </row>
    <row r="53">
      <c r="A53" t="inlineStr">
        <is>
          <t>Operating cash flow (reported)</t>
        </is>
      </c>
      <c r="B53" s="21" t="n">
        <v>214.6</v>
      </c>
      <c r="C53" s="21" t="n">
        <v>213.3</v>
      </c>
      <c r="D53" s="21" t="n">
        <v>248.7</v>
      </c>
      <c r="H53" s="2" t="inlineStr">
        <is>
          <t>SEC XBRL F48, F49, F50</t>
        </is>
      </c>
    </row>
    <row r="54">
      <c r="A54" t="inlineStr">
        <is>
          <t>FCF (operating cash flow - capex)</t>
        </is>
      </c>
      <c r="B54" s="21">
        <f>B53-B48</f>
        <v/>
      </c>
      <c r="C54" s="21">
        <f>C53-C48</f>
        <v/>
      </c>
      <c r="D54" s="21">
        <f>D53-D48</f>
        <v/>
      </c>
    </row>
    <row r="55">
      <c r="A55" t="inlineStr">
        <is>
          <t>Stock comp (memo)</t>
        </is>
      </c>
      <c r="B55" s="21" t="n">
        <v>10.8</v>
      </c>
      <c r="C55" s="21" t="n">
        <v>26.4</v>
      </c>
      <c r="D55" s="21" t="n">
        <v>22.1</v>
      </c>
      <c r="E55" s="21">
        <f>E24*E67</f>
        <v/>
      </c>
      <c r="F55" s="21">
        <f>F24*F67</f>
        <v/>
      </c>
      <c r="G55" s="21">
        <f>G24*G67</f>
        <v/>
      </c>
      <c r="H55" s="2" t="inlineStr">
        <is>
          <t>SEC XBRL F41, F42, F43</t>
        </is>
      </c>
    </row>
    <row r="56">
      <c r="A56" t="inlineStr">
        <is>
          <t>Buybacks + dividends + other uses</t>
        </is>
      </c>
      <c r="E56" s="21">
        <f>E24*E69+E68+E70</f>
        <v/>
      </c>
      <c r="F56" s="21">
        <f>F24*F69+F68+F70</f>
        <v/>
      </c>
      <c r="G56" s="21">
        <f>G24*G69+G68+G70</f>
        <v/>
      </c>
    </row>
    <row r="57">
      <c r="A57" s="11" t="inlineStr">
        <is>
          <t xml:space="preserve">  % of sales</t>
        </is>
      </c>
      <c r="B57" s="25">
        <f>B56/B24</f>
        <v/>
      </c>
      <c r="C57" s="25">
        <f>C56/C24</f>
        <v/>
      </c>
      <c r="D57" s="25">
        <f>D56/D24</f>
        <v/>
      </c>
      <c r="E57" s="25">
        <f>E56/E24</f>
        <v/>
      </c>
      <c r="F57" s="25">
        <f>F56/F24</f>
        <v/>
      </c>
      <c r="G57" s="25">
        <f>G56/G24</f>
        <v/>
      </c>
    </row>
    <row r="58">
      <c r="A58" t="inlineStr">
        <is>
          <t>Net debt / (net cash), year end (memo)</t>
        </is>
      </c>
      <c r="E58" s="21">
        <f>Valuation!$B$56-E52-E33*(1-E63)+E56</f>
        <v/>
      </c>
      <c r="F58" s="21">
        <f>E58-F52-F33*(1-F63)+F56</f>
        <v/>
      </c>
      <c r="G58" s="21">
        <f>F58-G52-G33*(1-G63)+G56</f>
        <v/>
      </c>
      <c r="H58" s="2" t="inlineStr">
        <is>
          <t>rolled from the balance-date figure; feeds interest only</t>
        </is>
      </c>
    </row>
    <row r="60">
      <c r="A60" s="19" t="inlineStr">
        <is>
          <t>Drivers (blue = input; a year left black carries the prior year)</t>
        </is>
      </c>
      <c r="B60" s="20" t="n"/>
      <c r="C60" s="20" t="n"/>
      <c r="D60" s="20" t="n"/>
      <c r="E60" s="20" t="n"/>
      <c r="F60" s="20" t="n"/>
      <c r="G60" s="20" t="n"/>
      <c r="H60" s="20" t="n"/>
    </row>
    <row r="61">
      <c r="A61" t="inlineStr">
        <is>
          <t>Revenue growth</t>
        </is>
      </c>
      <c r="C61" s="16">
        <f>C25</f>
        <v/>
      </c>
      <c r="D61" s="16">
        <f>D25</f>
        <v/>
      </c>
      <c r="E61" s="22">
        <f>E25</f>
        <v/>
      </c>
      <c r="F61" s="16">
        <f>F25</f>
        <v/>
      </c>
      <c r="G61" s="16">
        <f>G25</f>
        <v/>
      </c>
      <c r="H61" s="2" t="inlineStr">
        <is>
          <t>implied by the segment build (edit the segment rows)</t>
        </is>
      </c>
    </row>
    <row r="62">
      <c r="A62" t="inlineStr">
        <is>
          <t>EBIT margin</t>
        </is>
      </c>
      <c r="E62" s="22">
        <f>E29</f>
        <v/>
      </c>
      <c r="F62" s="16">
        <f>F29</f>
        <v/>
      </c>
      <c r="G62" s="16">
        <f>G29</f>
        <v/>
      </c>
      <c r="H62" s="2" t="inlineStr">
        <is>
          <t>implied by the segment build and corporate EBIT</t>
        </is>
      </c>
    </row>
    <row r="63">
      <c r="A63" t="inlineStr">
        <is>
          <t>Tax rate</t>
        </is>
      </c>
      <c r="B63" s="16">
        <f>B37</f>
        <v/>
      </c>
      <c r="C63" s="16">
        <f>C37</f>
        <v/>
      </c>
      <c r="D63" s="16">
        <f>D37</f>
        <v/>
      </c>
      <c r="E63" s="22" t="n">
        <v>0.24</v>
      </c>
      <c r="F63" s="16">
        <f>E63</f>
        <v/>
      </c>
      <c r="G63" s="16">
        <f>F63</f>
        <v/>
      </c>
    </row>
    <row r="64">
      <c r="A64" t="inlineStr">
        <is>
          <t>D&amp;A % revenue</t>
        </is>
      </c>
      <c r="B64" s="16">
        <f>B30/B24</f>
        <v/>
      </c>
      <c r="C64" s="16">
        <f>C30/C24</f>
        <v/>
      </c>
      <c r="D64" s="16">
        <f>D30/D24</f>
        <v/>
      </c>
      <c r="E64" s="22" t="n">
        <v>0.0228</v>
      </c>
      <c r="F64" s="16">
        <f>E64</f>
        <v/>
      </c>
      <c r="G64" s="16">
        <f>F64</f>
        <v/>
      </c>
    </row>
    <row r="65">
      <c r="A65" t="inlineStr">
        <is>
          <t>Capex % revenue</t>
        </is>
      </c>
      <c r="B65" s="16">
        <f>B49</f>
        <v/>
      </c>
      <c r="C65" s="16">
        <f>C49</f>
        <v/>
      </c>
      <c r="D65" s="16">
        <f>D49</f>
        <v/>
      </c>
      <c r="E65" s="22" t="n">
        <v>0.05</v>
      </c>
      <c r="F65" s="16">
        <f>E65</f>
        <v/>
      </c>
      <c r="G65" s="16">
        <f>F65</f>
        <v/>
      </c>
    </row>
    <row r="66">
      <c r="A66" t="inlineStr">
        <is>
          <t>Working capital % of revenue increase</t>
        </is>
      </c>
      <c r="E66" s="22" t="n">
        <v>0.1</v>
      </c>
      <c r="F66" s="16">
        <f>E66</f>
        <v/>
      </c>
      <c r="G66" s="16">
        <f>F66</f>
        <v/>
      </c>
    </row>
    <row r="67">
      <c r="A67" t="inlineStr">
        <is>
          <t>Stock comp % revenue</t>
        </is>
      </c>
      <c r="B67" s="16">
        <f>B55/B24</f>
        <v/>
      </c>
      <c r="C67" s="16">
        <f>C55/C24</f>
        <v/>
      </c>
      <c r="D67" s="16">
        <f>D55/D24</f>
        <v/>
      </c>
      <c r="E67" s="22" t="n">
        <v>0</v>
      </c>
      <c r="F67" s="16">
        <f>E67</f>
        <v/>
      </c>
      <c r="G67" s="16">
        <f>F67</f>
        <v/>
      </c>
    </row>
    <row r="68">
      <c r="A68" t="inlineStr">
        <is>
          <t>Shareholder returns ($)</t>
        </is>
      </c>
      <c r="E68" s="24" t="n">
        <v>0</v>
      </c>
      <c r="F68" s="21">
        <f>E68</f>
        <v/>
      </c>
      <c r="G68" s="21">
        <f>F68</f>
        <v/>
      </c>
    </row>
    <row r="69">
      <c r="A69" t="inlineStr">
        <is>
          <t>Shareholder returns % revenue</t>
        </is>
      </c>
      <c r="B69" s="16">
        <f>B57</f>
        <v/>
      </c>
      <c r="C69" s="16">
        <f>C57</f>
        <v/>
      </c>
      <c r="D69" s="16">
        <f>D57</f>
        <v/>
      </c>
      <c r="E69" s="22" t="n">
        <v>0</v>
      </c>
      <c r="F69" s="16">
        <f>E69</f>
        <v/>
      </c>
      <c r="G69" s="16">
        <f>F69</f>
        <v/>
      </c>
    </row>
    <row r="70">
      <c r="A70" t="inlineStr">
        <is>
          <t>Other uses of cash ($: M&amp;A, investments)</t>
        </is>
      </c>
      <c r="E70" s="24" t="n">
        <v>0</v>
      </c>
      <c r="F70" s="21">
        <f>E70</f>
        <v/>
      </c>
      <c r="G70" s="21">
        <f>F70</f>
        <v/>
      </c>
    </row>
    <row r="71">
      <c r="A71" t="inlineStr">
        <is>
          <t>Adj. EBITDA addback % revenue</t>
        </is>
      </c>
      <c r="E71" s="22" t="n">
        <v>0</v>
      </c>
      <c r="F71" s="16">
        <f>E71</f>
        <v/>
      </c>
      <c r="G71" s="16">
        <f>F71</f>
        <v/>
      </c>
    </row>
    <row r="73">
      <c r="A73" s="19" t="inlineStr">
        <is>
          <t>Versus company guidance and street consensus</t>
        </is>
      </c>
      <c r="B73" s="20" t="n"/>
      <c r="C73" s="20" t="n"/>
      <c r="D73" s="20" t="n"/>
      <c r="E73" s="20" t="n"/>
      <c r="F73" s="20" t="n"/>
      <c r="G73" s="20" t="n"/>
      <c r="H73" s="20" t="n"/>
    </row>
    <row r="74">
      <c r="A74" t="inlineStr">
        <is>
          <t>Guidance: Data Centers net sales growth (segment), midpoint</t>
        </is>
      </c>
      <c r="E74" s="29">
        <f>AVERAGE(0.6,0.8)</f>
        <v/>
      </c>
      <c r="H74" s="2" t="inlineStr">
        <is>
          <t>0.6 to 0.8; as of 2026-07-29; source 5 (Modine Q1 FY27 slides Ex.99.2 (slide 12 segment outlook))</t>
        </is>
      </c>
    </row>
    <row r="75">
      <c r="A75" t="inlineStr">
        <is>
          <t>Guidance: Commercial HVAC net sales growth (segment), midpoint</t>
        </is>
      </c>
      <c r="E75" s="29">
        <f>AVERAGE(0.05,0.1)</f>
        <v/>
      </c>
      <c r="H75" s="2" t="inlineStr">
        <is>
          <t>0.05 to 0.1; as of 2026-07-29; source 5 (Modine Q1 FY27 slides Ex.99.2 (slide 12 segment outlook))</t>
        </is>
      </c>
    </row>
    <row r="76">
      <c r="A76" t="inlineStr">
        <is>
          <t>Guidance: adj. EBITDA (consolidated incl. PT) (adjusted, pre-separation), midpoint</t>
        </is>
      </c>
      <c r="E76" s="29">
        <f>AVERAGE(650,680)</f>
        <v/>
      </c>
      <c r="H76" s="2" t="inlineStr">
        <is>
          <t>650 to 680; as of 2026-05-26; source 26 (Modine 8-K Ex.99.1, FY2026 results (record adj. EBITDA $471.)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60" customWidth="1" min="10" max="10"/>
    <col width="13" customWidth="1" min="11" max="11"/>
  </cols>
  <sheetData>
    <row r="1">
      <c r="A1" s="1" t="inlineStr">
        <is>
          <t>MOD: valuation and price target derivation</t>
        </is>
      </c>
    </row>
    <row r="2">
      <c r="A2" s="2" t="inlineStr">
        <is>
          <t>Value per share at the target date = weighted methods below; the 12-month target is the median of the scenario mix (Distribution tab).</t>
        </is>
      </c>
    </row>
    <row r="3">
      <c r="A3" s="3" t="inlineStr">
        <is>
          <t>Method</t>
        </is>
      </c>
      <c r="B3" s="3" t="inlineStr">
        <is>
          <t>Multiple</t>
        </is>
      </c>
      <c r="C3" s="3" t="inlineStr">
        <is>
          <t>Metric at target date</t>
        </is>
      </c>
      <c r="D3" s="3" t="inlineStr">
        <is>
          <t>Value per share</t>
        </is>
      </c>
      <c r="E3" s="3" t="inlineStr">
        <is>
          <t>Weight</t>
        </is>
      </c>
      <c r="F3" s="3" t="inlineStr">
        <is>
          <t>Contribution</t>
        </is>
      </c>
    </row>
    <row r="4">
      <c r="A4" s="14">
        <f>'Calc - research target (12m)'!A67</f>
        <v/>
      </c>
      <c r="B4" s="4">
        <f>IF('Calc - research target (12m)'!C67="","",'Calc - research target (12m)'!C67)</f>
        <v/>
      </c>
      <c r="C4" s="30">
        <f>IF('Calc - research target (12m)'!I67="","",'Calc - research target (12m)'!I67)</f>
        <v/>
      </c>
      <c r="D4" s="4">
        <f>'Calc - research target (12m)'!F67</f>
        <v/>
      </c>
      <c r="E4" s="12">
        <f>'Calc - research target (12m)'!G67</f>
        <v/>
      </c>
      <c r="F4" s="9">
        <f>D4*E4/SUM($E$4:$E$6)</f>
        <v/>
      </c>
    </row>
    <row r="5">
      <c r="A5" s="14">
        <f>'Calc - research target (12m)'!A68</f>
        <v/>
      </c>
      <c r="B5" s="4">
        <f>IF('Calc - research target (12m)'!C68="","",'Calc - research target (12m)'!C68)</f>
        <v/>
      </c>
      <c r="C5" s="30">
        <f>IF('Calc - research target (12m)'!I68="","",'Calc - research target (12m)'!I68)</f>
        <v/>
      </c>
      <c r="D5" s="4">
        <f>'Calc - research target (12m)'!F68</f>
        <v/>
      </c>
      <c r="E5" s="12">
        <f>'Calc - research target (12m)'!G68</f>
        <v/>
      </c>
      <c r="F5" s="9">
        <f>D5*E5/SUM($E$4:$E$6)</f>
        <v/>
      </c>
    </row>
    <row r="6">
      <c r="A6" s="14">
        <f>'Calc - research target (12m)'!A69</f>
        <v/>
      </c>
      <c r="B6" s="4">
        <f>IF('Calc - research target (12m)'!C69="","",'Calc - research target (12m)'!C69)</f>
        <v/>
      </c>
      <c r="C6" s="30">
        <f>IF('Calc - research target (12m)'!I69="","",'Calc - research target (12m)'!I69)</f>
        <v/>
      </c>
      <c r="D6" s="4">
        <f>'Calc - research target (12m)'!F69</f>
        <v/>
      </c>
      <c r="E6" s="12">
        <f>'Calc - research target (12m)'!G69</f>
        <v/>
      </c>
      <c r="F6" s="9">
        <f>D6*E6/SUM($E$4:$E$6)</f>
        <v/>
      </c>
    </row>
    <row r="7">
      <c r="A7" s="17" t="inlineStr">
        <is>
          <t>Research target (12m) per share</t>
        </is>
      </c>
      <c r="D7" s="6">
        <f>'Calc - research target (12m)'!$F$70</f>
        <v/>
      </c>
      <c r="F7" s="6">
        <f>SUM(F4:F6)</f>
        <v/>
      </c>
    </row>
    <row r="9">
      <c r="A9" s="19" t="inlineStr">
        <is>
          <t>12-month EPS basis (what the P/E is applied to)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</row>
    <row r="10">
      <c r="A10" s="3" t="inlineStr">
        <is>
          <t>Fiscal year</t>
        </is>
      </c>
      <c r="B10" s="3">
        <f>Model!E5</f>
        <v/>
      </c>
      <c r="C10" s="3">
        <f>Model!F5</f>
        <v/>
      </c>
      <c r="D10" s="3">
        <f>Model!G5</f>
        <v/>
      </c>
    </row>
    <row r="11">
      <c r="A11" t="inlineStr">
        <is>
          <t>Share of the 12 months after the target date</t>
        </is>
      </c>
      <c r="B11" s="12">
        <f>'Calc - research target (12m)'!C38</f>
        <v/>
      </c>
      <c r="C11" s="12">
        <f>'Calc - research target (12m)'!D38</f>
        <v/>
      </c>
      <c r="D11" s="12">
        <f>'Calc - research target (12m)'!E38</f>
        <v/>
      </c>
    </row>
    <row r="12">
      <c r="A12" t="inlineStr">
        <is>
          <t>Model EPS (Model tab)</t>
        </is>
      </c>
      <c r="B12" s="13">
        <f>Model!E42</f>
        <v/>
      </c>
      <c r="C12" s="13">
        <f>Model!F42</f>
        <v/>
      </c>
      <c r="D12" s="13">
        <f>Model!G42</f>
        <v/>
      </c>
    </row>
    <row r="13">
      <c r="A13" t="inlineStr">
        <is>
          <t>Model EPS, next 12 months after the target date</t>
        </is>
      </c>
      <c r="B13" s="28">
        <f>SUMPRODUCT(B11:D11,B12:D12)</f>
        <v/>
      </c>
    </row>
    <row r="16">
      <c r="A16" s="19" t="inlineStr">
        <is>
          <t>DCF build (free cash flow to firm, discounted to the target date)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</row>
    <row r="17">
      <c r="A17" s="3" t="inlineStr">
        <is>
          <t>Fiscal year</t>
        </is>
      </c>
      <c r="B17" s="3">
        <f>Model!E5</f>
        <v/>
      </c>
      <c r="C17" s="3">
        <f>Model!F5</f>
        <v/>
      </c>
      <c r="D17" s="3">
        <f>Model!G5</f>
        <v/>
      </c>
    </row>
    <row r="18">
      <c r="A18" t="inlineStr">
        <is>
          <t>Free cash flow to firm</t>
        </is>
      </c>
      <c r="B18" s="10">
        <f>'Calc - research target (12m)'!C31</f>
        <v/>
      </c>
      <c r="C18" s="10">
        <f>'Calc - research target (12m)'!D31</f>
        <v/>
      </c>
      <c r="D18" s="10">
        <f>'Calc - research target (12m)'!E31</f>
        <v/>
      </c>
    </row>
    <row r="19">
      <c r="A19" t="inlineStr">
        <is>
          <t>Share of the year after the target date</t>
        </is>
      </c>
      <c r="B19" s="12">
        <f>'Calc - research target (12m)'!C35</f>
        <v/>
      </c>
      <c r="C19" s="12">
        <f>'Calc - research target (12m)'!D35</f>
        <v/>
      </c>
      <c r="D19" s="12">
        <f>'Calc - research target (12m)'!E35</f>
        <v/>
      </c>
    </row>
    <row r="20">
      <c r="A20" t="inlineStr">
        <is>
          <t>PV at target date</t>
        </is>
      </c>
      <c r="B20" s="10">
        <f>'Calc - research target (12m)'!C36</f>
        <v/>
      </c>
      <c r="C20" s="10">
        <f>'Calc - research target (12m)'!D36</f>
        <v/>
      </c>
      <c r="D20" s="10">
        <f>'Calc - research target (12m)'!E36</f>
        <v/>
      </c>
    </row>
    <row r="22">
      <c r="A22" t="inlineStr">
        <is>
          <t>PV of free cash flow after the target date</t>
        </is>
      </c>
      <c r="B22" s="10">
        <f>'Calc - research target (12m)'!B42</f>
        <v/>
      </c>
    </row>
    <row r="23">
      <c r="A23" t="inlineStr">
        <is>
          <t>Terminal value (final year)</t>
        </is>
      </c>
      <c r="B23" s="10">
        <f>'Calc - research target (12m)'!B43</f>
        <v/>
      </c>
    </row>
    <row r="24">
      <c r="A24" t="inlineStr">
        <is>
          <t>PV of terminal value</t>
        </is>
      </c>
      <c r="B24" s="10">
        <f>'Calc - research target (12m)'!B44</f>
        <v/>
      </c>
    </row>
    <row r="25">
      <c r="A25" t="inlineStr">
        <is>
          <t>Enterprise value at target date</t>
        </is>
      </c>
      <c r="B25" s="10">
        <f>'Calc - research target (12m)'!B45</f>
        <v/>
      </c>
    </row>
    <row r="26">
      <c r="A26" t="inlineStr">
        <is>
          <t>Terminal value share of DCF</t>
        </is>
      </c>
      <c r="B26" s="12">
        <f>'Calc - research target (12m)'!B46</f>
        <v/>
      </c>
    </row>
    <row r="27">
      <c r="A27" t="inlineStr">
        <is>
          <t>Net debt at target date</t>
        </is>
      </c>
      <c r="B27" s="10">
        <f>'Calc - research target (12m)'!B50</f>
        <v/>
      </c>
    </row>
    <row r="28">
      <c r="A28" t="inlineStr">
        <is>
          <t>Minority interests</t>
        </is>
      </c>
      <c r="B28" s="10">
        <f>'Calc - research target (12m)'!B51</f>
        <v/>
      </c>
    </row>
    <row r="29">
      <c r="A29" t="inlineStr">
        <is>
          <t>Adjustments</t>
        </is>
      </c>
      <c r="B29" s="10">
        <f>'Calc - research target (12m)'!B52</f>
        <v/>
      </c>
    </row>
    <row r="30">
      <c r="A30" t="inlineStr">
        <is>
          <t>Diluted shares at target date (M)</t>
        </is>
      </c>
      <c r="B30" s="31">
        <f>'Calc - research target (12m)'!B53</f>
        <v/>
      </c>
    </row>
    <row r="31">
      <c r="A31" t="inlineStr">
        <is>
          <t>DCF value per share</t>
        </is>
      </c>
      <c r="B31" s="4">
        <f>'Calc - research target (12m)'!F67</f>
        <v/>
      </c>
    </row>
    <row r="32">
      <c r="A32" t="inlineStr">
        <is>
          <t>WACC</t>
        </is>
      </c>
      <c r="B32" s="12">
        <f>'Calc - research target (12m)'!B12</f>
        <v/>
      </c>
    </row>
    <row r="42">
      <c r="A42" s="19" t="inlineStr">
        <is>
          <t>Assumptions (blue = input; sources on the Sources tab)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</row>
    <row r="43">
      <c r="A43" s="3" t="inlineStr">
        <is>
          <t>Input</t>
        </is>
      </c>
      <c r="B43" s="3" t="inlineStr">
        <is>
          <t>Value</t>
        </is>
      </c>
      <c r="C43" s="3" t="inlineStr">
        <is>
          <t>Basis / note</t>
        </is>
      </c>
    </row>
    <row r="44">
      <c r="A44" t="inlineStr">
        <is>
          <t>Run date (valuation as of)</t>
        </is>
      </c>
      <c r="B44" s="32" t="n">
        <v>46318</v>
      </c>
      <c r="C44" t="inlineStr"/>
    </row>
    <row r="45">
      <c r="A45" t="inlineStr">
        <is>
          <t>Target date (run date + 365 days)</t>
        </is>
      </c>
      <c r="B45" s="18">
        <f>B44+365</f>
        <v/>
      </c>
      <c r="C45" t="inlineStr">
        <is>
          <t>12-month horizon</t>
        </is>
      </c>
    </row>
    <row r="46">
      <c r="A46" t="inlineStr">
        <is>
          <t>Money unit</t>
        </is>
      </c>
      <c r="B46" s="33" t="inlineStr">
        <is>
          <t>$M</t>
        </is>
      </c>
      <c r="C46" t="inlineStr"/>
    </row>
    <row r="47">
      <c r="A47" t="inlineStr">
        <is>
          <t>EBIT basis (gaap / adjusted)</t>
        </is>
      </c>
      <c r="B47" s="33" t="inlineStr">
        <is>
          <t>adjusted</t>
        </is>
      </c>
      <c r="C47" t="inlineStr">
        <is>
          <t>gaap = after stock comp</t>
        </is>
      </c>
    </row>
    <row r="48">
      <c r="A48" t="inlineStr">
        <is>
          <t>Stock comp treatment (cost / dilution)</t>
        </is>
      </c>
      <c r="B48" s="33" t="inlineStr">
        <is>
          <t>dilution</t>
        </is>
      </c>
      <c r="C48" t="inlineStr">
        <is>
          <t>used only when EBIT is adjusted</t>
        </is>
      </c>
    </row>
    <row r="49">
      <c r="A49" t="inlineStr">
        <is>
          <t>Last reported fiscal year end</t>
        </is>
      </c>
      <c r="B49" s="32" t="n">
        <v>46112</v>
      </c>
      <c r="C49" t="inlineStr"/>
    </row>
    <row r="50">
      <c r="A50" t="inlineStr">
        <is>
          <t>Net sales, last reported year ($M)</t>
        </is>
      </c>
      <c r="B50" s="24" t="n">
        <v>2082</v>
      </c>
      <c r="C50" t="inlineStr"/>
    </row>
    <row r="51">
      <c r="A51" t="inlineStr">
        <is>
          <t>WACC</t>
        </is>
      </c>
      <c r="B51" s="22" t="n">
        <v>0.1</v>
      </c>
      <c r="C51" t="inlineStr">
        <is>
          <t>not used: no DCF leg (Kilian 2026-10-21); a placeholder so the DCF block still computes</t>
        </is>
      </c>
    </row>
    <row r="52">
      <c r="A52" t="inlineStr">
        <is>
          <t>Terminal method (gordon / exit_multiple / steady_state)</t>
        </is>
      </c>
      <c r="B52" s="33" t="inlineStr">
        <is>
          <t>gordon</t>
        </is>
      </c>
      <c r="C52" t="inlineStr"/>
    </row>
    <row r="53">
      <c r="A53" t="inlineStr">
        <is>
          <t>Terminal growth</t>
        </is>
      </c>
      <c r="B53" s="22" t="n">
        <v>0.02</v>
      </c>
      <c r="C53" t="inlineStr"/>
    </row>
    <row r="54">
      <c r="A54" t="inlineStr">
        <is>
          <t>Exit EV/EBITDA (exit_multiple only)</t>
        </is>
      </c>
      <c r="B54" s="34" t="n"/>
      <c r="C54" t="inlineStr"/>
    </row>
    <row r="55">
      <c r="A55" t="inlineStr">
        <is>
          <t>Balance-sheet date</t>
        </is>
      </c>
      <c r="B55" s="32" t="n">
        <v>46296</v>
      </c>
      <c r="C55" t="inlineStr"/>
    </row>
    <row r="56">
      <c r="A56" t="inlineStr">
        <is>
          <t>Net debt / (net cash) at balance date ($M)</t>
        </is>
      </c>
      <c r="B56" s="24" t="n">
        <v>280</v>
      </c>
      <c r="C56" t="inlineStr">
        <is>
          <t>excludes operating leases</t>
        </is>
      </c>
    </row>
    <row r="57">
      <c r="A57" t="inlineStr">
        <is>
          <t>Minority interests + preferred stock</t>
        </is>
      </c>
      <c r="B57" s="24" t="n">
        <v>0</v>
      </c>
      <c r="C57" t="inlineStr"/>
    </row>
    <row r="58">
      <c r="A58" t="inlineStr">
        <is>
          <t>Interest rate on net debt / cash</t>
        </is>
      </c>
      <c r="B58" s="22" t="n">
        <v>0.0536</v>
      </c>
      <c r="C58" t="inlineStr"/>
    </row>
    <row r="59">
      <c r="A59" t="inlineStr">
        <is>
          <t>Net debt at target date (override; blank = bridge)</t>
        </is>
      </c>
      <c r="B59" s="24" t="n">
        <v>280</v>
      </c>
      <c r="C59" t="inlineStr"/>
    </row>
    <row r="60">
      <c r="A60" t="inlineStr">
        <is>
          <t>Diluted shares (M)</t>
        </is>
      </c>
      <c r="B60" s="35" t="n">
        <v>54</v>
      </c>
      <c r="C60" t="inlineStr"/>
    </row>
    <row r="61">
      <c r="A61" t="inlineStr">
        <is>
          <t>Share count date</t>
        </is>
      </c>
      <c r="B61" s="32" t="n">
        <v>46203</v>
      </c>
      <c r="C61" t="inlineStr"/>
    </row>
    <row r="62">
      <c r="A62" t="inlineStr">
        <is>
          <t>Annual change in diluted shares</t>
        </is>
      </c>
      <c r="B62" s="22" t="n">
        <v>0</v>
      </c>
      <c r="C62" t="inlineStr">
        <is>
          <t>net of buybacks and stock-comp dilution</t>
        </is>
      </c>
    </row>
    <row r="63">
      <c r="A63" t="inlineStr">
        <is>
          <t>Shares at target date (override; blank = from annual change)</t>
        </is>
      </c>
      <c r="B63" s="35" t="n"/>
      <c r="C63" t="inlineStr"/>
    </row>
    <row r="64">
      <c r="A64" t="inlineStr">
        <is>
          <t>DCF weight</t>
        </is>
      </c>
      <c r="B64" s="22" t="n">
        <v>0</v>
      </c>
      <c r="C64" t="inlineStr">
        <is>
          <t>Kilian 2026-10-21: 0 unless the name has a DCF leg (dcf_policy)</t>
        </is>
      </c>
    </row>
    <row r="65">
      <c r="A65" t="inlineStr">
        <is>
          <t>Sum-of-the-parts weight</t>
        </is>
      </c>
      <c r="B65" s="22" t="n">
        <v>0</v>
      </c>
      <c r="C65" t="inlineStr"/>
    </row>
    <row r="66">
      <c r="A66" t="inlineStr">
        <is>
          <t>Spread within each scenario (lognormal vol)</t>
        </is>
      </c>
      <c r="B66" s="22" t="n">
        <v>0.15</v>
      </c>
      <c r="C66" t="inlineStr"/>
    </row>
    <row r="67">
      <c r="A67" t="inlineStr">
        <is>
          <t>Share price at the run</t>
        </is>
      </c>
      <c r="B67" s="36" t="n">
        <v>133.34</v>
      </c>
      <c r="C67" t="inlineStr">
        <is>
          <t>close used by the run (2026-10-23)</t>
        </is>
      </c>
    </row>
    <row r="69">
      <c r="A69" s="3" t="inlineStr">
        <is>
          <t>Target multiple</t>
        </is>
      </c>
      <c r="B69" s="3" t="inlineStr">
        <is>
          <t>Multiple</t>
        </is>
      </c>
      <c r="C69" s="3" t="inlineStr">
        <is>
          <t>Weight</t>
        </is>
      </c>
      <c r="D69" s="3" t="inlineStr">
        <is>
          <t>Basis (ntm / ltm)</t>
        </is>
      </c>
      <c r="E69" s="3" t="inlineStr">
        <is>
          <t>EBITDA basis</t>
        </is>
      </c>
      <c r="F69" s="3" t="inlineStr">
        <is>
          <t>Stated EPS</t>
        </is>
      </c>
      <c r="G69" s="3" t="inlineStr">
        <is>
          <t>Stated FCF/share</t>
        </is>
      </c>
      <c r="H69" s="3" t="inlineStr">
        <is>
          <t>Levered</t>
        </is>
      </c>
      <c r="I69" s="3" t="inlineStr">
        <is>
          <t>Peer basis</t>
        </is>
      </c>
    </row>
    <row r="70">
      <c r="A70" s="33" t="inlineStr">
        <is>
          <t>EV/EBITDA</t>
        </is>
      </c>
      <c r="B70" s="34" t="n">
        <v>13.57</v>
      </c>
      <c r="C70" s="22" t="n">
        <v>0.6</v>
      </c>
      <c r="D70" s="33" t="inlineStr">
        <is>
          <t>ntm</t>
        </is>
      </c>
      <c r="E70" s="33" t="inlineStr">
        <is>
          <t>adjusted</t>
        </is>
      </c>
      <c r="F70" s="37" t="n"/>
      <c r="G70" s="37" t="n"/>
      <c r="H70" s="33" t="b">
        <v>1</v>
      </c>
      <c r="I70" t="inlineStr">
        <is>
          <t>at the 14.17x median of the 12-peer set (consensus NTM EBITDA, 2026-10-23; Kilian card 2026-10-26 06:25Z: plain medians, no discount); comps_review 2026-10-26 EXIT k=0.8 (2026-10-26T12:30Z): 14.17 x (13.43 / 14.17)^0.8 = 13.57x; own 13.43x (post-spin net debt 265.3M from the 8-K/A pro forma) on the post-spin model NTM (see inputs_detail exit row) (was 14.17x).</t>
        </is>
      </c>
    </row>
    <row r="71">
      <c r="A71" s="33" t="inlineStr">
        <is>
          <t>P/E</t>
        </is>
      </c>
      <c r="B71" s="34" t="n">
        <v>21.25</v>
      </c>
      <c r="C71" s="22" t="n">
        <v>0.4</v>
      </c>
      <c r="D71" s="33" t="inlineStr">
        <is>
          <t>ntm</t>
        </is>
      </c>
      <c r="E71" s="33" t="inlineStr">
        <is>
          <t>gaap</t>
        </is>
      </c>
      <c r="F71" s="37" t="n"/>
      <c r="G71" s="37" t="n"/>
      <c r="H71" s="33" t="b">
        <v>1</v>
      </c>
      <c r="I71" t="inlineStr">
        <is>
          <t>at the 23.23x NTM P/E median of the 12-peer set on MOD EPS basis (amortization in, stock comp expensed); EPS = model NTM (EBITDA - D&amp;A - interest) x 0.76 / 54.0M, driver-linked EXIT k=0.8 (2026-10-26T12:30Z): 23.23 x (20.78 / 23.23)^0.8 = 21.25x; own 20.78x on the post-spin model NTM (was 23.23x).</t>
        </is>
      </c>
    </row>
    <row r="73">
      <c r="A73" s="3" t="inlineStr">
        <is>
          <t>Segment (sum of the parts)</t>
        </is>
      </c>
      <c r="B73" s="3" t="inlineStr">
        <is>
          <t>NTM metric</t>
        </is>
      </c>
      <c r="C73" s="3" t="inlineStr">
        <is>
          <t>Metric</t>
        </is>
      </c>
      <c r="D73" s="3" t="inlineStr">
        <is>
          <t>Multiple</t>
        </is>
      </c>
      <c r="E73" s="3" t="inlineStr">
        <is>
          <t>Note</t>
        </is>
      </c>
    </row>
    <row r="74">
      <c r="A74" s="11" t="inlineStr">
        <is>
          <t>none</t>
        </is>
      </c>
    </row>
    <row r="76">
      <c r="A76" s="3" t="inlineStr">
        <is>
          <t>Adjustment (equity level)</t>
        </is>
      </c>
      <c r="B76" s="3" t="inlineStr">
        <is>
          <t>Value</t>
        </is>
      </c>
      <c r="C76" s="3" t="inlineStr">
        <is>
          <t>Probability</t>
        </is>
      </c>
      <c r="D76" s="3" t="inlineStr">
        <is>
          <t>Note</t>
        </is>
      </c>
    </row>
    <row r="77">
      <c r="A77" s="11" t="inlineStr">
        <is>
          <t>none</t>
        </is>
      </c>
    </row>
    <row r="79">
      <c r="A79" s="3" t="inlineStr">
        <is>
          <t>Custom method</t>
        </is>
      </c>
      <c r="B79" s="3" t="inlineStr">
        <is>
          <t>Value per share</t>
        </is>
      </c>
      <c r="C79" s="3" t="inlineStr">
        <is>
          <t>Weight</t>
        </is>
      </c>
      <c r="D79" s="3" t="inlineStr">
        <is>
          <t>Explanation</t>
        </is>
      </c>
    </row>
    <row r="80">
      <c r="A80" s="11" t="inlineStr">
        <is>
          <t>none</t>
        </is>
      </c>
    </row>
    <row r="82">
      <c r="A82" s="3" t="inlineStr">
        <is>
          <t>Scenario</t>
        </is>
      </c>
      <c r="B82" s="3" t="inlineStr">
        <is>
          <t>Probability</t>
        </is>
      </c>
      <c r="C82" s="3" t="inlineStr">
        <is>
          <t>Growth Δ</t>
        </is>
      </c>
      <c r="D82" s="3" t="inlineStr">
        <is>
          <t>Margin Δ</t>
        </is>
      </c>
      <c r="E82" s="3" t="inlineStr">
        <is>
          <t>Multiple Δ (turns)</t>
        </is>
      </c>
      <c r="F82" s="3" t="inlineStr">
        <is>
          <t>WACC Δ</t>
        </is>
      </c>
      <c r="G82" s="3" t="inlineStr">
        <is>
          <t>Multiple %Δ (FCF yield, segments)</t>
        </is>
      </c>
      <c r="H82" s="3" t="inlineStr">
        <is>
          <t>Stated EPS/FCF %Δ</t>
        </is>
      </c>
      <c r="I82" s="3" t="inlineStr">
        <is>
          <t>Custom methods %Δ</t>
        </is>
      </c>
      <c r="J82" s="3" t="inlineStr">
        <is>
          <t>Story</t>
        </is>
      </c>
    </row>
    <row r="83">
      <c r="A83" t="inlineStr">
        <is>
          <t>bear</t>
        </is>
      </c>
      <c r="B83" s="22" t="n">
        <v>0.25</v>
      </c>
      <c r="C83" s="22" t="n"/>
      <c r="D83" s="22" t="n"/>
      <c r="E83" s="38" t="n">
        <v>-4</v>
      </c>
      <c r="F83" s="22" t="n"/>
      <c r="G83" s="22" t="n"/>
      <c r="H83" s="22" t="n"/>
      <c r="I83" s="22" t="n"/>
      <c r="J83" s="39" t="inlineStr">
        <is>
          <t>Agents 1-5 bear (P 25%): AI capex digestion / share loss / LTA customer slip; DC FY28 growth ~15-20% (dc_rev -15% every year), DC margin stuck ~16% (-4pt), corporate ~-$90M (-$10M); NTM EBITDA ~$480M (agents median $480M); de-rate to ~13x EBITDA / ~20.5x EPS (multiple -4 turns, agents 12-13.5x).</t>
        </is>
      </c>
      <c r="K83" s="39" t="inlineStr">
        <is>
          <t>driver deltas: dc_rev -0.15 %; dc_margin -0.04; corp_cost -10</t>
        </is>
      </c>
    </row>
    <row r="84">
      <c r="A84" t="inlineStr">
        <is>
          <t>base</t>
        </is>
      </c>
      <c r="B84" s="22" t="n">
        <v>0.5</v>
      </c>
      <c r="C84" s="22" t="n"/>
      <c r="D84" s="22" t="n"/>
      <c r="E84" s="38" t="n"/>
      <c r="F84" s="22" t="n"/>
      <c r="G84" s="22" t="n"/>
      <c r="H84" s="22" t="n"/>
      <c r="I84" s="22" t="n"/>
      <c r="J84" s="39" t="inlineStr">
        <is>
          <t>[exit k=0.8 2026-10-26: EV/EBITDA 14.17x -&gt; 13.57x; P/E 23.23x -&gt; 21.25x] Agents median build: DC +65% / +42% / +20% at ~20%, CHVAC ~+6% at ~16.6%, corporate -$80-85M; 17x / 24.5x.</t>
        </is>
      </c>
    </row>
    <row r="85">
      <c r="A85" t="inlineStr">
        <is>
          <t>bull</t>
        </is>
      </c>
      <c r="B85" s="22" t="n">
        <v>0.25</v>
      </c>
      <c r="C85" s="22" t="n"/>
      <c r="D85" s="22" t="n"/>
      <c r="E85" s="38" t="n">
        <v>3</v>
      </c>
      <c r="F85" s="22" t="n"/>
      <c r="G85" s="22" t="n"/>
      <c r="H85" s="22" t="n"/>
      <c r="I85" s="22" t="n"/>
      <c r="J85" s="39" t="inlineStr">
        <is>
          <t>Agents 1-5 bull (P 25%): DC on management's 50-70% path (dc_rev +15%), margins 21%+ (+1.5pt); NTM EBITDA ~$800M (agents $790-820M); ~20x EBITDA (multiple +3 turns, agents 19.5-21x).</t>
        </is>
      </c>
      <c r="K85" s="39" t="inlineStr">
        <is>
          <t>driver deltas: dc_rev +0.15 %; dc_margin +0.015</t>
        </is>
      </c>
    </row>
    <row r="87">
      <c r="A87" s="3" t="inlineStr">
        <is>
          <t>Segment build (segment_build)</t>
        </is>
      </c>
      <c r="B87" s="3" t="inlineStr">
        <is>
          <t>Base revenue ($M)</t>
        </is>
      </c>
      <c r="C87" s="3" t="inlineStr">
        <is>
          <t>Driver note (growth and EBIT margin by year: Model tab)</t>
        </is>
      </c>
    </row>
    <row r="88">
      <c r="A88" t="inlineStr">
        <is>
          <t>Data Centers</t>
        </is>
      </c>
      <c r="B88" s="24" t="n">
        <v>1108.2</v>
      </c>
      <c r="C88" t="inlineStr">
        <is>
          <t>dc_rev level; EBIT margin = dc_margin - D&amp;A % of revenue</t>
        </is>
      </c>
    </row>
    <row r="89">
      <c r="A89" t="inlineStr">
        <is>
          <t>Commercial HVAC</t>
        </is>
      </c>
      <c r="B89" s="24" t="n">
        <v>973.8</v>
      </c>
      <c r="C89" t="inlineStr">
        <is>
          <t>chvac_rev level; EBIT margin = chvac_margin - D&amp;A %</t>
        </is>
      </c>
    </row>
    <row r="90">
      <c r="A90" s="17" t="inlineStr">
        <is>
          <t>Sum of segment base revenues</t>
        </is>
      </c>
      <c r="B90" s="23">
        <f>SUM(B88:B89)</f>
        <v/>
      </c>
      <c r="C90">
        <f>IF(ABS(B90/Valuation!$B$50-1)&lt;=0.02,"ties to the last reported net sales (within 2%)","FLAG: does not tie to the last reported net sales")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MOD: sensitivity tables (bold = current inputs; every cell recalculates from the live model)</t>
        </is>
      </c>
    </row>
    <row r="3">
      <c r="A3" s="17" t="inlineStr">
        <is>
          <t>DCF value per share: WACC (down) x terminal growth (across)</t>
        </is>
      </c>
    </row>
    <row r="4">
      <c r="A4" s="17" t="inlineStr">
        <is>
          <t>WACC \ growth</t>
        </is>
      </c>
      <c r="B4" s="7">
        <f>Valuation!$B$53+(-0.01)</f>
        <v/>
      </c>
      <c r="C4" s="7">
        <f>Valuation!$B$53+(-0.005)</f>
        <v/>
      </c>
      <c r="D4" s="7">
        <f>Valuation!$B$53+(0)</f>
        <v/>
      </c>
      <c r="E4" s="7">
        <f>Valuation!$B$53+(0.005)</f>
        <v/>
      </c>
      <c r="F4" s="7">
        <f>Valuation!$B$53+(0.01)</f>
        <v/>
      </c>
    </row>
    <row r="5">
      <c r="A5" s="7">
        <f>Valuation!$B$51+(-0.01)</f>
        <v/>
      </c>
      <c r="B5" s="9">
        <f>IF($A5-B$4&lt;=0.01,"n/a",((SUMPRODUCT('Calc - research target (12m)'!$C$31:$E$31,'Calc - research target (12m)'!$C$35:$E$35,(1+$A5)^(-('Calc - research target (12m)'!$C$19:$E$19-'Calc - research target (12m)'!$B$13)))+'Calc - research target (12m)'!$E$31*(1+B$4)/($A5-B$4)/(1+$A5)^('Calc - research target (12m)'!$B$16-'Calc - research target (12m)'!$B$13))-'Calc - research target (12m)'!$B$50-'Calc - research target (12m)'!$B$51+'Calc - research target (12m)'!$B$52)/'Calc - research target (12m)'!$B$53)</f>
        <v/>
      </c>
      <c r="C5" s="9">
        <f>IF($A5-C$4&lt;=0.01,"n/a",((SUMPRODUCT('Calc - research target (12m)'!$C$31:$E$31,'Calc - research target (12m)'!$C$35:$E$35,(1+$A5)^(-('Calc - research target (12m)'!$C$19:$E$19-'Calc - research target (12m)'!$B$13)))+'Calc - research target (12m)'!$E$31*(1+C$4)/($A5-C$4)/(1+$A5)^('Calc - research target (12m)'!$B$16-'Calc - research target (12m)'!$B$13))-'Calc - research target (12m)'!$B$50-'Calc - research target (12m)'!$B$51+'Calc - research target (12m)'!$B$52)/'Calc - research target (12m)'!$B$53)</f>
        <v/>
      </c>
      <c r="D5" s="9">
        <f>IF($A5-D$4&lt;=0.01,"n/a",((SUMPRODUCT('Calc - research target (12m)'!$C$31:$E$31,'Calc - research target (12m)'!$C$35:$E$35,(1+$A5)^(-('Calc - research target (12m)'!$C$19:$E$19-'Calc - research target (12m)'!$B$13)))+'Calc - research target (12m)'!$E$31*(1+D$4)/($A5-D$4)/(1+$A5)^('Calc - research target (12m)'!$B$16-'Calc - research target (12m)'!$B$13))-'Calc - research target (12m)'!$B$50-'Calc - research target (12m)'!$B$51+'Calc - research target (12m)'!$B$52)/'Calc - research target (12m)'!$B$53)</f>
        <v/>
      </c>
      <c r="E5" s="9">
        <f>IF($A5-E$4&lt;=0.01,"n/a",((SUMPRODUCT('Calc - research target (12m)'!$C$31:$E$31,'Calc - research target (12m)'!$C$35:$E$35,(1+$A5)^(-('Calc - research target (12m)'!$C$19:$E$19-'Calc - research target (12m)'!$B$13)))+'Calc - research target (12m)'!$E$31*(1+E$4)/($A5-E$4)/(1+$A5)^('Calc - research target (12m)'!$B$16-'Calc - research target (12m)'!$B$13))-'Calc - research target (12m)'!$B$50-'Calc - research target (12m)'!$B$51+'Calc - research target (12m)'!$B$52)/'Calc - research target (12m)'!$B$53)</f>
        <v/>
      </c>
      <c r="F5" s="9">
        <f>IF($A5-F$4&lt;=0.01,"n/a",((SUMPRODUCT('Calc - research target (12m)'!$C$31:$E$31,'Calc - research target (12m)'!$C$35:$E$35,(1+$A5)^(-('Calc - research target (12m)'!$C$19:$E$19-'Calc - research target (12m)'!$B$13)))+'Calc - research target (12m)'!$E$31*(1+F$4)/($A5-F$4)/(1+$A5)^('Calc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6">
      <c r="A6" s="7">
        <f>Valuation!$B$51+(-0.005)</f>
        <v/>
      </c>
      <c r="B6" s="9">
        <f>IF($A6-B$4&lt;=0.01,"n/a",((SUMPRODUCT('Calc - research target (12m)'!$C$31:$E$31,'Calc - research target (12m)'!$C$35:$E$35,(1+$A6)^(-('Calc - research target (12m)'!$C$19:$E$19-'Calc - research target (12m)'!$B$13)))+'Calc - research target (12m)'!$E$31*(1+B$4)/($A6-B$4)/(1+$A6)^('Calc - research target (12m)'!$B$16-'Calc - research target (12m)'!$B$13))-'Calc - research target (12m)'!$B$50-'Calc - research target (12m)'!$B$51+'Calc - research target (12m)'!$B$52)/'Calc - research target (12m)'!$B$53)</f>
        <v/>
      </c>
      <c r="C6" s="9">
        <f>IF($A6-C$4&lt;=0.01,"n/a",((SUMPRODUCT('Calc - research target (12m)'!$C$31:$E$31,'Calc - research target (12m)'!$C$35:$E$35,(1+$A6)^(-('Calc - research target (12m)'!$C$19:$E$19-'Calc - research target (12m)'!$B$13)))+'Calc - research target (12m)'!$E$31*(1+C$4)/($A6-C$4)/(1+$A6)^('Calc - research target (12m)'!$B$16-'Calc - research target (12m)'!$B$13))-'Calc - research target (12m)'!$B$50-'Calc - research target (12m)'!$B$51+'Calc - research target (12m)'!$B$52)/'Calc - research target (12m)'!$B$53)</f>
        <v/>
      </c>
      <c r="D6" s="9">
        <f>IF($A6-D$4&lt;=0.01,"n/a",((SUMPRODUCT('Calc - research target (12m)'!$C$31:$E$31,'Calc - research target (12m)'!$C$35:$E$35,(1+$A6)^(-('Calc - research target (12m)'!$C$19:$E$19-'Calc - research target (12m)'!$B$13)))+'Calc - research target (12m)'!$E$31*(1+D$4)/($A6-D$4)/(1+$A6)^('Calc - research target (12m)'!$B$16-'Calc - research target (12m)'!$B$13))-'Calc - research target (12m)'!$B$50-'Calc - research target (12m)'!$B$51+'Calc - research target (12m)'!$B$52)/'Calc - research target (12m)'!$B$53)</f>
        <v/>
      </c>
      <c r="E6" s="9">
        <f>IF($A6-E$4&lt;=0.01,"n/a",((SUMPRODUCT('Calc - research target (12m)'!$C$31:$E$31,'Calc - research target (12m)'!$C$35:$E$35,(1+$A6)^(-('Calc - research target (12m)'!$C$19:$E$19-'Calc - research target (12m)'!$B$13)))+'Calc - research target (12m)'!$E$31*(1+E$4)/($A6-E$4)/(1+$A6)^('Calc - research target (12m)'!$B$16-'Calc - research target (12m)'!$B$13))-'Calc - research target (12m)'!$B$50-'Calc - research target (12m)'!$B$51+'Calc - research target (12m)'!$B$52)/'Calc - research target (12m)'!$B$53)</f>
        <v/>
      </c>
      <c r="F6" s="9">
        <f>IF($A6-F$4&lt;=0.01,"n/a",((SUMPRODUCT('Calc - research target (12m)'!$C$31:$E$31,'Calc - research target (12m)'!$C$35:$E$35,(1+$A6)^(-('Calc - research target (12m)'!$C$19:$E$19-'Calc - research target (12m)'!$B$13)))+'Calc - research target (12m)'!$E$31*(1+F$4)/($A6-F$4)/(1+$A6)^('Calc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7">
      <c r="A7" s="7">
        <f>Valuation!$B$51+(0)</f>
        <v/>
      </c>
      <c r="B7" s="9">
        <f>IF($A7-B$4&lt;=0.01,"n/a",((SUMPRODUCT('Calc - research target (12m)'!$C$31:$E$31,'Calc - research target (12m)'!$C$35:$E$35,(1+$A7)^(-('Calc - research target (12m)'!$C$19:$E$19-'Calc - research target (12m)'!$B$13)))+'Calc - research target (12m)'!$E$31*(1+B$4)/($A7-B$4)/(1+$A7)^('Calc - research target (12m)'!$B$16-'Calc - research target (12m)'!$B$13))-'Calc - research target (12m)'!$B$50-'Calc - research target (12m)'!$B$51+'Calc - research target (12m)'!$B$52)/'Calc - research target (12m)'!$B$53)</f>
        <v/>
      </c>
      <c r="C7" s="9">
        <f>IF($A7-C$4&lt;=0.01,"n/a",((SUMPRODUCT('Calc - research target (12m)'!$C$31:$E$31,'Calc - research target (12m)'!$C$35:$E$35,(1+$A7)^(-('Calc - research target (12m)'!$C$19:$E$19-'Calc - research target (12m)'!$B$13)))+'Calc - research target (12m)'!$E$31*(1+C$4)/($A7-C$4)/(1+$A7)^('Calc - research target (12m)'!$B$16-'Calc - research target (12m)'!$B$13))-'Calc - research target (12m)'!$B$50-'Calc - research target (12m)'!$B$51+'Calc - research target (12m)'!$B$52)/'Calc - research target (12m)'!$B$53)</f>
        <v/>
      </c>
      <c r="D7" s="6">
        <f>IF($A7-D$4&lt;=0.01,"n/a",((SUMPRODUCT('Calc - research target (12m)'!$C$31:$E$31,'Calc - research target (12m)'!$C$35:$E$35,(1+$A7)^(-('Calc - research target (12m)'!$C$19:$E$19-'Calc - research target (12m)'!$B$13)))+'Calc - research target (12m)'!$E$31*(1+D$4)/($A7-D$4)/(1+$A7)^('Calc - research target (12m)'!$B$16-'Calc - research target (12m)'!$B$13))-'Calc - research target (12m)'!$B$50-'Calc - research target (12m)'!$B$51+'Calc - research target (12m)'!$B$52)/'Calc - research target (12m)'!$B$53)</f>
        <v/>
      </c>
      <c r="E7" s="9">
        <f>IF($A7-E$4&lt;=0.01,"n/a",((SUMPRODUCT('Calc - research target (12m)'!$C$31:$E$31,'Calc - research target (12m)'!$C$35:$E$35,(1+$A7)^(-('Calc - research target (12m)'!$C$19:$E$19-'Calc - research target (12m)'!$B$13)))+'Calc - research target (12m)'!$E$31*(1+E$4)/($A7-E$4)/(1+$A7)^('Calc - research target (12m)'!$B$16-'Calc - research target (12m)'!$B$13))-'Calc - research target (12m)'!$B$50-'Calc - research target (12m)'!$B$51+'Calc - research target (12m)'!$B$52)/'Calc - research target (12m)'!$B$53)</f>
        <v/>
      </c>
      <c r="F7" s="9">
        <f>IF($A7-F$4&lt;=0.01,"n/a",((SUMPRODUCT('Calc - research target (12m)'!$C$31:$E$31,'Calc - research target (12m)'!$C$35:$E$35,(1+$A7)^(-('Calc - research target (12m)'!$C$19:$E$19-'Calc - research target (12m)'!$B$13)))+'Calc - research target (12m)'!$E$31*(1+F$4)/($A7-F$4)/(1+$A7)^('Calc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8">
      <c r="A8" s="7">
        <f>Valuation!$B$51+(0.005)</f>
        <v/>
      </c>
      <c r="B8" s="9">
        <f>IF($A8-B$4&lt;=0.01,"n/a",((SUMPRODUCT('Calc - research target (12m)'!$C$31:$E$31,'Calc - research target (12m)'!$C$35:$E$35,(1+$A8)^(-('Calc - research target (12m)'!$C$19:$E$19-'Calc - research target (12m)'!$B$13)))+'Calc - research target (12m)'!$E$31*(1+B$4)/($A8-B$4)/(1+$A8)^('Calc - research target (12m)'!$B$16-'Calc - research target (12m)'!$B$13))-'Calc - research target (12m)'!$B$50-'Calc - research target (12m)'!$B$51+'Calc - research target (12m)'!$B$52)/'Calc - research target (12m)'!$B$53)</f>
        <v/>
      </c>
      <c r="C8" s="9">
        <f>IF($A8-C$4&lt;=0.01,"n/a",((SUMPRODUCT('Calc - research target (12m)'!$C$31:$E$31,'Calc - research target (12m)'!$C$35:$E$35,(1+$A8)^(-('Calc - research target (12m)'!$C$19:$E$19-'Calc - research target (12m)'!$B$13)))+'Calc - research target (12m)'!$E$31*(1+C$4)/($A8-C$4)/(1+$A8)^('Calc - research target (12m)'!$B$16-'Calc - research target (12m)'!$B$13))-'Calc - research target (12m)'!$B$50-'Calc - research target (12m)'!$B$51+'Calc - research target (12m)'!$B$52)/'Calc - research target (12m)'!$B$53)</f>
        <v/>
      </c>
      <c r="D8" s="9">
        <f>IF($A8-D$4&lt;=0.01,"n/a",((SUMPRODUCT('Calc - research target (12m)'!$C$31:$E$31,'Calc - research target (12m)'!$C$35:$E$35,(1+$A8)^(-('Calc - research target (12m)'!$C$19:$E$19-'Calc - research target (12m)'!$B$13)))+'Calc - research target (12m)'!$E$31*(1+D$4)/($A8-D$4)/(1+$A8)^('Calc - research target (12m)'!$B$16-'Calc - research target (12m)'!$B$13))-'Calc - research target (12m)'!$B$50-'Calc - research target (12m)'!$B$51+'Calc - research target (12m)'!$B$52)/'Calc - research target (12m)'!$B$53)</f>
        <v/>
      </c>
      <c r="E8" s="9">
        <f>IF($A8-E$4&lt;=0.01,"n/a",((SUMPRODUCT('Calc - research target (12m)'!$C$31:$E$31,'Calc - research target (12m)'!$C$35:$E$35,(1+$A8)^(-('Calc - research target (12m)'!$C$19:$E$19-'Calc - research target (12m)'!$B$13)))+'Calc - research target (12m)'!$E$31*(1+E$4)/($A8-E$4)/(1+$A8)^('Calc - research target (12m)'!$B$16-'Calc - research target (12m)'!$B$13))-'Calc - research target (12m)'!$B$50-'Calc - research target (12m)'!$B$51+'Calc - research target (12m)'!$B$52)/'Calc - research target (12m)'!$B$53)</f>
        <v/>
      </c>
      <c r="F8" s="9">
        <f>IF($A8-F$4&lt;=0.01,"n/a",((SUMPRODUCT('Calc - research target (12m)'!$C$31:$E$31,'Calc - research target (12m)'!$C$35:$E$35,(1+$A8)^(-('Calc - research target (12m)'!$C$19:$E$19-'Calc - research target (12m)'!$B$13)))+'Calc - research target (12m)'!$E$31*(1+F$4)/($A8-F$4)/(1+$A8)^('Calc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9">
      <c r="A9" s="7">
        <f>Valuation!$B$51+(0.01)</f>
        <v/>
      </c>
      <c r="B9" s="9">
        <f>IF($A9-B$4&lt;=0.01,"n/a",((SUMPRODUCT('Calc - research target (12m)'!$C$31:$E$31,'Calc - research target (12m)'!$C$35:$E$35,(1+$A9)^(-('Calc - research target (12m)'!$C$19:$E$19-'Calc - research target (12m)'!$B$13)))+'Calc - research target (12m)'!$E$31*(1+B$4)/($A9-B$4)/(1+$A9)^('Calc - research target (12m)'!$B$16-'Calc - research target (12m)'!$B$13))-'Calc - research target (12m)'!$B$50-'Calc - research target (12m)'!$B$51+'Calc - research target (12m)'!$B$52)/'Calc - research target (12m)'!$B$53)</f>
        <v/>
      </c>
      <c r="C9" s="9">
        <f>IF($A9-C$4&lt;=0.01,"n/a",((SUMPRODUCT('Calc - research target (12m)'!$C$31:$E$31,'Calc - research target (12m)'!$C$35:$E$35,(1+$A9)^(-('Calc - research target (12m)'!$C$19:$E$19-'Calc - research target (12m)'!$B$13)))+'Calc - research target (12m)'!$E$31*(1+C$4)/($A9-C$4)/(1+$A9)^('Calc - research target (12m)'!$B$16-'Calc - research target (12m)'!$B$13))-'Calc - research target (12m)'!$B$50-'Calc - research target (12m)'!$B$51+'Calc - research target (12m)'!$B$52)/'Calc - research target (12m)'!$B$53)</f>
        <v/>
      </c>
      <c r="D9" s="9">
        <f>IF($A9-D$4&lt;=0.01,"n/a",((SUMPRODUCT('Calc - research target (12m)'!$C$31:$E$31,'Calc - research target (12m)'!$C$35:$E$35,(1+$A9)^(-('Calc - research target (12m)'!$C$19:$E$19-'Calc - research target (12m)'!$B$13)))+'Calc - research target (12m)'!$E$31*(1+D$4)/($A9-D$4)/(1+$A9)^('Calc - research target (12m)'!$B$16-'Calc - research target (12m)'!$B$13))-'Calc - research target (12m)'!$B$50-'Calc - research target (12m)'!$B$51+'Calc - research target (12m)'!$B$52)/'Calc - research target (12m)'!$B$53)</f>
        <v/>
      </c>
      <c r="E9" s="9">
        <f>IF($A9-E$4&lt;=0.01,"n/a",((SUMPRODUCT('Calc - research target (12m)'!$C$31:$E$31,'Calc - research target (12m)'!$C$35:$E$35,(1+$A9)^(-('Calc - research target (12m)'!$C$19:$E$19-'Calc - research target (12m)'!$B$13)))+'Calc - research target (12m)'!$E$31*(1+E$4)/($A9-E$4)/(1+$A9)^('Calc - research target (12m)'!$B$16-'Calc - research target (12m)'!$B$13))-'Calc - research target (12m)'!$B$50-'Calc - research target (12m)'!$B$51+'Calc - research target (12m)'!$B$52)/'Calc - research target (12m)'!$B$53)</f>
        <v/>
      </c>
      <c r="F9" s="9">
        <f>IF($A9-F$4&lt;=0.01,"n/a",((SUMPRODUCT('Calc - research target (12m)'!$C$31:$E$31,'Calc - research target (12m)'!$C$35:$E$35,(1+$A9)^(-('Calc - research target (12m)'!$C$19:$E$19-'Calc - research target (12m)'!$B$13)))+'Calc - research target (12m)'!$E$31*(1+F$4)/($A9-F$4)/(1+$A9)^('Calc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11">
      <c r="A11" s="17" t="inlineStr">
        <is>
          <t>Research target (12m) per share: EV/EBITDA multiple (down) x metric at target date (across)</t>
        </is>
      </c>
    </row>
    <row r="12">
      <c r="A12" s="17" t="inlineStr">
        <is>
          <t>Multiple \ metric</t>
        </is>
      </c>
      <c r="B12" s="23">
        <f>'Calc - research target (12m)'!$E$68*0.9</f>
        <v/>
      </c>
      <c r="C12" s="23">
        <f>'Calc - research target (12m)'!$E$68*0.95</f>
        <v/>
      </c>
      <c r="D12" s="23">
        <f>'Calc - research target (12m)'!$E$68*1.0</f>
        <v/>
      </c>
      <c r="E12" s="23">
        <f>'Calc - research target (12m)'!$E$68*1.05</f>
        <v/>
      </c>
      <c r="F12" s="23">
        <f>'Calc - research target (12m)'!$E$68*1.1</f>
        <v/>
      </c>
    </row>
    <row r="13">
      <c r="A13" s="40">
        <f>Valuation!$B$70+(-3)</f>
        <v/>
      </c>
      <c r="B13" s="9">
        <f>((SUMPRODUCT('Calc - research target (12m)'!$F$67:$F$69,'Calc - research target (12m)'!$G$67:$G$69)-'Calc - research target (12m)'!$F$68*'Calc - research target (12m)'!$G$68)+'Calc - research target (12m)'!$G$68*((($A13*B$12)-'Calc - research target (12m)'!$B$50-'Calc - research target (12m)'!$B$51+'Calc - research target (12m)'!$B$52)/'Calc - research target (12m)'!$B$53))/SUM('Calc - research target (12m)'!$G$67:$G$69)</f>
        <v/>
      </c>
      <c r="C13" s="9">
        <f>((SUMPRODUCT('Calc - research target (12m)'!$F$67:$F$69,'Calc - research target (12m)'!$G$67:$G$69)-'Calc - research target (12m)'!$F$68*'Calc - research target (12m)'!$G$68)+'Calc - research target (12m)'!$G$68*((($A13*C$12)-'Calc - research target (12m)'!$B$50-'Calc - research target (12m)'!$B$51+'Calc - research target (12m)'!$B$52)/'Calc - research target (12m)'!$B$53))/SUM('Calc - research target (12m)'!$G$67:$G$69)</f>
        <v/>
      </c>
      <c r="D13" s="9">
        <f>((SUMPRODUCT('Calc - research target (12m)'!$F$67:$F$69,'Calc - research target (12m)'!$G$67:$G$69)-'Calc - research target (12m)'!$F$68*'Calc - research target (12m)'!$G$68)+'Calc - research target (12m)'!$G$68*((($A13*D$12)-'Calc - research target (12m)'!$B$50-'Calc - research target (12m)'!$B$51+'Calc - research target (12m)'!$B$52)/'Calc - research target (12m)'!$B$53))/SUM('Calc - research target (12m)'!$G$67:$G$69)</f>
        <v/>
      </c>
      <c r="E13" s="9">
        <f>((SUMPRODUCT('Calc - research target (12m)'!$F$67:$F$69,'Calc - research target (12m)'!$G$67:$G$69)-'Calc - research target (12m)'!$F$68*'Calc - research target (12m)'!$G$68)+'Calc - research target (12m)'!$G$68*((($A13*E$12)-'Calc - research target (12m)'!$B$50-'Calc - research target (12m)'!$B$51+'Calc - research target (12m)'!$B$52)/'Calc - research target (12m)'!$B$53))/SUM('Calc - research target (12m)'!$G$67:$G$69)</f>
        <v/>
      </c>
      <c r="F13" s="9">
        <f>((SUMPRODUCT('Calc - research target (12m)'!$F$67:$F$69,'Calc - research target (12m)'!$G$67:$G$69)-'Calc - research target (12m)'!$F$68*'Calc - research target (12m)'!$G$68)+'Calc - research target (12m)'!$G$68*((($A13*F$12)-'Calc - research target (12m)'!$B$50-'Calc - research target (12m)'!$B$51+'Calc - research target (12m)'!$B$52)/'Calc - research target (12m)'!$B$53))/SUM('Calc - research target (12m)'!$G$67:$G$69)</f>
        <v/>
      </c>
    </row>
    <row r="14">
      <c r="A14" s="40">
        <f>Valuation!$B$70+(-2)</f>
        <v/>
      </c>
      <c r="B14" s="9">
        <f>((SUMPRODUCT('Calc - research target (12m)'!$F$67:$F$69,'Calc - research target (12m)'!$G$67:$G$69)-'Calc - research target (12m)'!$F$68*'Calc - research target (12m)'!$G$68)+'Calc - research target (12m)'!$G$68*((($A14*B$12)-'Calc - research target (12m)'!$B$50-'Calc - research target (12m)'!$B$51+'Calc - research target (12m)'!$B$52)/'Calc - research target (12m)'!$B$53))/SUM('Calc - research target (12m)'!$G$67:$G$69)</f>
        <v/>
      </c>
      <c r="C14" s="9">
        <f>((SUMPRODUCT('Calc - research target (12m)'!$F$67:$F$69,'Calc - research target (12m)'!$G$67:$G$69)-'Calc - research target (12m)'!$F$68*'Calc - research target (12m)'!$G$68)+'Calc - research target (12m)'!$G$68*((($A14*C$12)-'Calc - research target (12m)'!$B$50-'Calc - research target (12m)'!$B$51+'Calc - research target (12m)'!$B$52)/'Calc - research target (12m)'!$B$53))/SUM('Calc - research target (12m)'!$G$67:$G$69)</f>
        <v/>
      </c>
      <c r="D14" s="9">
        <f>((SUMPRODUCT('Calc - research target (12m)'!$F$67:$F$69,'Calc - research target (12m)'!$G$67:$G$69)-'Calc - research target (12m)'!$F$68*'Calc - research target (12m)'!$G$68)+'Calc - research target (12m)'!$G$68*((($A14*D$12)-'Calc - research target (12m)'!$B$50-'Calc - research target (12m)'!$B$51+'Calc - research target (12m)'!$B$52)/'Calc - research target (12m)'!$B$53))/SUM('Calc - research target (12m)'!$G$67:$G$69)</f>
        <v/>
      </c>
      <c r="E14" s="9">
        <f>((SUMPRODUCT('Calc - research target (12m)'!$F$67:$F$69,'Calc - research target (12m)'!$G$67:$G$69)-'Calc - research target (12m)'!$F$68*'Calc - research target (12m)'!$G$68)+'Calc - research target (12m)'!$G$68*((($A14*E$12)-'Calc - research target (12m)'!$B$50-'Calc - research target (12m)'!$B$51+'Calc - research target (12m)'!$B$52)/'Calc - research target (12m)'!$B$53))/SUM('Calc - research target (12m)'!$G$67:$G$69)</f>
        <v/>
      </c>
      <c r="F14" s="9">
        <f>((SUMPRODUCT('Calc - research target (12m)'!$F$67:$F$69,'Calc - research target (12m)'!$G$67:$G$69)-'Calc - research target (12m)'!$F$68*'Calc - research target (12m)'!$G$68)+'Calc - research target (12m)'!$G$68*((($A14*F$12)-'Calc - research target (12m)'!$B$50-'Calc - research target (12m)'!$B$51+'Calc - research target (12m)'!$B$52)/'Calc - research target (12m)'!$B$53))/SUM('Calc - research target (12m)'!$G$67:$G$69)</f>
        <v/>
      </c>
    </row>
    <row r="15">
      <c r="A15" s="40">
        <f>Valuation!$B$70+(-1)</f>
        <v/>
      </c>
      <c r="B15" s="9">
        <f>((SUMPRODUCT('Calc - research target (12m)'!$F$67:$F$69,'Calc - research target (12m)'!$G$67:$G$69)-'Calc - research target (12m)'!$F$68*'Calc - research target (12m)'!$G$68)+'Calc - research target (12m)'!$G$68*((($A15*B$12)-'Calc - research target (12m)'!$B$50-'Calc - research target (12m)'!$B$51+'Calc - research target (12m)'!$B$52)/'Calc - research target (12m)'!$B$53))/SUM('Calc - research target (12m)'!$G$67:$G$69)</f>
        <v/>
      </c>
      <c r="C15" s="9">
        <f>((SUMPRODUCT('Calc - research target (12m)'!$F$67:$F$69,'Calc - research target (12m)'!$G$67:$G$69)-'Calc - research target (12m)'!$F$68*'Calc - research target (12m)'!$G$68)+'Calc - research target (12m)'!$G$68*((($A15*C$12)-'Calc - research target (12m)'!$B$50-'Calc - research target (12m)'!$B$51+'Calc - research target (12m)'!$B$52)/'Calc - research target (12m)'!$B$53))/SUM('Calc - research target (12m)'!$G$67:$G$69)</f>
        <v/>
      </c>
      <c r="D15" s="9">
        <f>((SUMPRODUCT('Calc - research target (12m)'!$F$67:$F$69,'Calc - research target (12m)'!$G$67:$G$69)-'Calc - research target (12m)'!$F$68*'Calc - research target (12m)'!$G$68)+'Calc - research target (12m)'!$G$68*((($A15*D$12)-'Calc - research target (12m)'!$B$50-'Calc - research target (12m)'!$B$51+'Calc - research target (12m)'!$B$52)/'Calc - research target (12m)'!$B$53))/SUM('Calc - research target (12m)'!$G$67:$G$69)</f>
        <v/>
      </c>
      <c r="E15" s="9">
        <f>((SUMPRODUCT('Calc - research target (12m)'!$F$67:$F$69,'Calc - research target (12m)'!$G$67:$G$69)-'Calc - research target (12m)'!$F$68*'Calc - research target (12m)'!$G$68)+'Calc - research target (12m)'!$G$68*((($A15*E$12)-'Calc - research target (12m)'!$B$50-'Calc - research target (12m)'!$B$51+'Calc - research target (12m)'!$B$52)/'Calc - research target (12m)'!$B$53))/SUM('Calc - research target (12m)'!$G$67:$G$69)</f>
        <v/>
      </c>
      <c r="F15" s="9">
        <f>((SUMPRODUCT('Calc - research target (12m)'!$F$67:$F$69,'Calc - research target (12m)'!$G$67:$G$69)-'Calc - research target (12m)'!$F$68*'Calc - research target (12m)'!$G$68)+'Calc - research target (12m)'!$G$68*((($A15*F$12)-'Calc - research target (12m)'!$B$50-'Calc - research target (12m)'!$B$51+'Calc - research target (12m)'!$B$52)/'Calc - research target (12m)'!$B$53))/SUM('Calc - research target (12m)'!$G$67:$G$69)</f>
        <v/>
      </c>
    </row>
    <row r="16">
      <c r="A16" s="40">
        <f>Valuation!$B$70+(0)</f>
        <v/>
      </c>
      <c r="B16" s="9">
        <f>((SUMPRODUCT('Calc - research target (12m)'!$F$67:$F$69,'Calc - research target (12m)'!$G$67:$G$69)-'Calc - research target (12m)'!$F$68*'Calc - research target (12m)'!$G$68)+'Calc - research target (12m)'!$G$68*((($A16*B$12)-'Calc - research target (12m)'!$B$50-'Calc - research target (12m)'!$B$51+'Calc - research target (12m)'!$B$52)/'Calc - research target (12m)'!$B$53))/SUM('Calc - research target (12m)'!$G$67:$G$69)</f>
        <v/>
      </c>
      <c r="C16" s="9">
        <f>((SUMPRODUCT('Calc - research target (12m)'!$F$67:$F$69,'Calc - research target (12m)'!$G$67:$G$69)-'Calc - research target (12m)'!$F$68*'Calc - research target (12m)'!$G$68)+'Calc - research target (12m)'!$G$68*((($A16*C$12)-'Calc - research target (12m)'!$B$50-'Calc - research target (12m)'!$B$51+'Calc - research target (12m)'!$B$52)/'Calc - research target (12m)'!$B$53))/SUM('Calc - research target (12m)'!$G$67:$G$69)</f>
        <v/>
      </c>
      <c r="D16" s="6">
        <f>((SUMPRODUCT('Calc - research target (12m)'!$F$67:$F$69,'Calc - research target (12m)'!$G$67:$G$69)-'Calc - research target (12m)'!$F$68*'Calc - research target (12m)'!$G$68)+'Calc - research target (12m)'!$G$68*((($A16*D$12)-'Calc - research target (12m)'!$B$50-'Calc - research target (12m)'!$B$51+'Calc - research target (12m)'!$B$52)/'Calc - research target (12m)'!$B$53))/SUM('Calc - research target (12m)'!$G$67:$G$69)</f>
        <v/>
      </c>
      <c r="E16" s="9">
        <f>((SUMPRODUCT('Calc - research target (12m)'!$F$67:$F$69,'Calc - research target (12m)'!$G$67:$G$69)-'Calc - research target (12m)'!$F$68*'Calc - research target (12m)'!$G$68)+'Calc - research target (12m)'!$G$68*((($A16*E$12)-'Calc - research target (12m)'!$B$50-'Calc - research target (12m)'!$B$51+'Calc - research target (12m)'!$B$52)/'Calc - research target (12m)'!$B$53))/SUM('Calc - research target (12m)'!$G$67:$G$69)</f>
        <v/>
      </c>
      <c r="F16" s="9">
        <f>((SUMPRODUCT('Calc - research target (12m)'!$F$67:$F$69,'Calc - research target (12m)'!$G$67:$G$69)-'Calc - research target (12m)'!$F$68*'Calc - research target (12m)'!$G$68)+'Calc - research target (12m)'!$G$68*((($A16*F$12)-'Calc - research target (12m)'!$B$50-'Calc - research target (12m)'!$B$51+'Calc - research target (12m)'!$B$52)/'Calc - research target (12m)'!$B$53))/SUM('Calc - research target (12m)'!$G$67:$G$69)</f>
        <v/>
      </c>
    </row>
    <row r="17">
      <c r="A17" s="40">
        <f>Valuation!$B$70+(1)</f>
        <v/>
      </c>
      <c r="B17" s="9">
        <f>((SUMPRODUCT('Calc - research target (12m)'!$F$67:$F$69,'Calc - research target (12m)'!$G$67:$G$69)-'Calc - research target (12m)'!$F$68*'Calc - research target (12m)'!$G$68)+'Calc - research target (12m)'!$G$68*((($A17*B$12)-'Calc - research target (12m)'!$B$50-'Calc - research target (12m)'!$B$51+'Calc - research target (12m)'!$B$52)/'Calc - research target (12m)'!$B$53))/SUM('Calc - research target (12m)'!$G$67:$G$69)</f>
        <v/>
      </c>
      <c r="C17" s="9">
        <f>((SUMPRODUCT('Calc - research target (12m)'!$F$67:$F$69,'Calc - research target (12m)'!$G$67:$G$69)-'Calc - research target (12m)'!$F$68*'Calc - research target (12m)'!$G$68)+'Calc - research target (12m)'!$G$68*((($A17*C$12)-'Calc - research target (12m)'!$B$50-'Calc - research target (12m)'!$B$51+'Calc - research target (12m)'!$B$52)/'Calc - research target (12m)'!$B$53))/SUM('Calc - research target (12m)'!$G$67:$G$69)</f>
        <v/>
      </c>
      <c r="D17" s="9">
        <f>((SUMPRODUCT('Calc - research target (12m)'!$F$67:$F$69,'Calc - research target (12m)'!$G$67:$G$69)-'Calc - research target (12m)'!$F$68*'Calc - research target (12m)'!$G$68)+'Calc - research target (12m)'!$G$68*((($A17*D$12)-'Calc - research target (12m)'!$B$50-'Calc - research target (12m)'!$B$51+'Calc - research target (12m)'!$B$52)/'Calc - research target (12m)'!$B$53))/SUM('Calc - research target (12m)'!$G$67:$G$69)</f>
        <v/>
      </c>
      <c r="E17" s="9">
        <f>((SUMPRODUCT('Calc - research target (12m)'!$F$67:$F$69,'Calc - research target (12m)'!$G$67:$G$69)-'Calc - research target (12m)'!$F$68*'Calc - research target (12m)'!$G$68)+'Calc - research target (12m)'!$G$68*((($A17*E$12)-'Calc - research target (12m)'!$B$50-'Calc - research target (12m)'!$B$51+'Calc - research target (12m)'!$B$52)/'Calc - research target (12m)'!$B$53))/SUM('Calc - research target (12m)'!$G$67:$G$69)</f>
        <v/>
      </c>
      <c r="F17" s="9">
        <f>((SUMPRODUCT('Calc - research target (12m)'!$F$67:$F$69,'Calc - research target (12m)'!$G$67:$G$69)-'Calc - research target (12m)'!$F$68*'Calc - research target (12m)'!$G$68)+'Calc - research target (12m)'!$G$68*((($A17*F$12)-'Calc - research target (12m)'!$B$50-'Calc - research target (12m)'!$B$51+'Calc - research target (12m)'!$B$52)/'Calc - research target (12m)'!$B$53))/SUM('Calc - research target (12m)'!$G$67:$G$69)</f>
        <v/>
      </c>
    </row>
    <row r="18">
      <c r="A18" s="40">
        <f>Valuation!$B$70+(2)</f>
        <v/>
      </c>
      <c r="B18" s="9">
        <f>((SUMPRODUCT('Calc - research target (12m)'!$F$67:$F$69,'Calc - research target (12m)'!$G$67:$G$69)-'Calc - research target (12m)'!$F$68*'Calc - research target (12m)'!$G$68)+'Calc - research target (12m)'!$G$68*((($A18*B$12)-'Calc - research target (12m)'!$B$50-'Calc - research target (12m)'!$B$51+'Calc - research target (12m)'!$B$52)/'Calc - research target (12m)'!$B$53))/SUM('Calc - research target (12m)'!$G$67:$G$69)</f>
        <v/>
      </c>
      <c r="C18" s="9">
        <f>((SUMPRODUCT('Calc - research target (12m)'!$F$67:$F$69,'Calc - research target (12m)'!$G$67:$G$69)-'Calc - research target (12m)'!$F$68*'Calc - research target (12m)'!$G$68)+'Calc - research target (12m)'!$G$68*((($A18*C$12)-'Calc - research target (12m)'!$B$50-'Calc - research target (12m)'!$B$51+'Calc - research target (12m)'!$B$52)/'Calc - research target (12m)'!$B$53))/SUM('Calc - research target (12m)'!$G$67:$G$69)</f>
        <v/>
      </c>
      <c r="D18" s="9">
        <f>((SUMPRODUCT('Calc - research target (12m)'!$F$67:$F$69,'Calc - research target (12m)'!$G$67:$G$69)-'Calc - research target (12m)'!$F$68*'Calc - research target (12m)'!$G$68)+'Calc - research target (12m)'!$G$68*((($A18*D$12)-'Calc - research target (12m)'!$B$50-'Calc - research target (12m)'!$B$51+'Calc - research target (12m)'!$B$52)/'Calc - research target (12m)'!$B$53))/SUM('Calc - research target (12m)'!$G$67:$G$69)</f>
        <v/>
      </c>
      <c r="E18" s="9">
        <f>((SUMPRODUCT('Calc - research target (12m)'!$F$67:$F$69,'Calc - research target (12m)'!$G$67:$G$69)-'Calc - research target (12m)'!$F$68*'Calc - research target (12m)'!$G$68)+'Calc - research target (12m)'!$G$68*((($A18*E$12)-'Calc - research target (12m)'!$B$50-'Calc - research target (12m)'!$B$51+'Calc - research target (12m)'!$B$52)/'Calc - research target (12m)'!$B$53))/SUM('Calc - research target (12m)'!$G$67:$G$69)</f>
        <v/>
      </c>
      <c r="F18" s="9">
        <f>((SUMPRODUCT('Calc - research target (12m)'!$F$67:$F$69,'Calc - research target (12m)'!$G$67:$G$69)-'Calc - research target (12m)'!$F$68*'Calc - research target (12m)'!$G$68)+'Calc - research target (12m)'!$G$68*((($A18*F$12)-'Calc - research target (12m)'!$B$50-'Calc - research target (12m)'!$B$51+'Calc - research target (12m)'!$B$52)/'Calc - research target (12m)'!$B$53))/SUM('Calc - research target (12m)'!$G$67:$G$69)</f>
        <v/>
      </c>
    </row>
    <row r="19">
      <c r="A19" s="40">
        <f>Valuation!$B$70+(3)</f>
        <v/>
      </c>
      <c r="B19" s="9">
        <f>((SUMPRODUCT('Calc - research target (12m)'!$F$67:$F$69,'Calc - research target (12m)'!$G$67:$G$69)-'Calc - research target (12m)'!$F$68*'Calc - research target (12m)'!$G$68)+'Calc - research target (12m)'!$G$68*((($A19*B$12)-'Calc - research target (12m)'!$B$50-'Calc - research target (12m)'!$B$51+'Calc - research target (12m)'!$B$52)/'Calc - research target (12m)'!$B$53))/SUM('Calc - research target (12m)'!$G$67:$G$69)</f>
        <v/>
      </c>
      <c r="C19" s="9">
        <f>((SUMPRODUCT('Calc - research target (12m)'!$F$67:$F$69,'Calc - research target (12m)'!$G$67:$G$69)-'Calc - research target (12m)'!$F$68*'Calc - research target (12m)'!$G$68)+'Calc - research target (12m)'!$G$68*((($A19*C$12)-'Calc - research target (12m)'!$B$50-'Calc - research target (12m)'!$B$51+'Calc - research target (12m)'!$B$52)/'Calc - research target (12m)'!$B$53))/SUM('Calc - research target (12m)'!$G$67:$G$69)</f>
        <v/>
      </c>
      <c r="D19" s="9">
        <f>((SUMPRODUCT('Calc - research target (12m)'!$F$67:$F$69,'Calc - research target (12m)'!$G$67:$G$69)-'Calc - research target (12m)'!$F$68*'Calc - research target (12m)'!$G$68)+'Calc - research target (12m)'!$G$68*((($A19*D$12)-'Calc - research target (12m)'!$B$50-'Calc - research target (12m)'!$B$51+'Calc - research target (12m)'!$B$52)/'Calc - research target (12m)'!$B$53))/SUM('Calc - research target (12m)'!$G$67:$G$69)</f>
        <v/>
      </c>
      <c r="E19" s="9">
        <f>((SUMPRODUCT('Calc - research target (12m)'!$F$67:$F$69,'Calc - research target (12m)'!$G$67:$G$69)-'Calc - research target (12m)'!$F$68*'Calc - research target (12m)'!$G$68)+'Calc - research target (12m)'!$G$68*((($A19*E$12)-'Calc - research target (12m)'!$B$50-'Calc - research target (12m)'!$B$51+'Calc - research target (12m)'!$B$52)/'Calc - research target (12m)'!$B$53))/SUM('Calc - research target (12m)'!$G$67:$G$69)</f>
        <v/>
      </c>
      <c r="F19" s="9">
        <f>((SUMPRODUCT('Calc - research target (12m)'!$F$67:$F$69,'Calc - research target (12m)'!$G$67:$G$69)-'Calc - research target (12m)'!$F$68*'Calc - research target (12m)'!$G$68)+'Calc - research target (12m)'!$G$68*((($A19*F$12)-'Calc - research target (12m)'!$B$50-'Calc - research target (12m)'!$B$51+'Calc - research target (12m)'!$B$52)/'Calc - research target (12m)'!$B$53))/SUM('Calc - research target (12m)'!$G$67:$G$69)</f>
        <v/>
      </c>
    </row>
    <row r="22">
      <c r="A22" s="17" t="inlineStr">
        <is>
          <t>FY2028E diluted EPS: revenue growth change in every year (down) x EBIT margin change (across)</t>
        </is>
      </c>
    </row>
    <row r="23">
      <c r="A23" s="17" t="inlineStr">
        <is>
          <t>Growth Δ \ margin Δ</t>
        </is>
      </c>
      <c r="B23" s="41" t="n">
        <v>-0.01</v>
      </c>
      <c r="C23" s="41" t="n">
        <v>-0.005</v>
      </c>
      <c r="D23" s="41" t="n">
        <v>0</v>
      </c>
      <c r="E23" s="41" t="n">
        <v>0.005</v>
      </c>
      <c r="F23" s="41" t="n">
        <v>0.01</v>
      </c>
    </row>
    <row r="24">
      <c r="A24" s="41" t="n">
        <v>-0.02</v>
      </c>
      <c r="B24" s="27">
        <f>(Valuation!$B$88*(1+Model!E12+$A24)*(1+Model!F12+$A24)*(Model!F14+B$23)+Valuation!$B$89*(1+Model!E16+$A24)*(1+Model!F16+$A24)*(Model!F18+B$23)+Model!F21+Model!F33)*(1-Model!F63)/Model!F40</f>
        <v/>
      </c>
      <c r="C24" s="27">
        <f>(Valuation!$B$88*(1+Model!E12+$A24)*(1+Model!F12+$A24)*(Model!F14+C$23)+Valuation!$B$89*(1+Model!E16+$A24)*(1+Model!F16+$A24)*(Model!F18+C$23)+Model!F21+Model!F33)*(1-Model!F63)/Model!F40</f>
        <v/>
      </c>
      <c r="D24" s="27">
        <f>(Valuation!$B$88*(1+Model!E12+$A24)*(1+Model!F12+$A24)*(Model!F14+D$23)+Valuation!$B$89*(1+Model!E16+$A24)*(1+Model!F16+$A24)*(Model!F18+D$23)+Model!F21+Model!F33)*(1-Model!F63)/Model!F40</f>
        <v/>
      </c>
      <c r="E24" s="27">
        <f>(Valuation!$B$88*(1+Model!E12+$A24)*(1+Model!F12+$A24)*(Model!F14+E$23)+Valuation!$B$89*(1+Model!E16+$A24)*(1+Model!F16+$A24)*(Model!F18+E$23)+Model!F21+Model!F33)*(1-Model!F63)/Model!F40</f>
        <v/>
      </c>
      <c r="F24" s="27">
        <f>(Valuation!$B$88*(1+Model!E12+$A24)*(1+Model!F12+$A24)*(Model!F14+F$23)+Valuation!$B$89*(1+Model!E16+$A24)*(1+Model!F16+$A24)*(Model!F18+F$23)+Model!F21+Model!F33)*(1-Model!F63)/Model!F40</f>
        <v/>
      </c>
    </row>
    <row r="25">
      <c r="A25" s="41" t="n">
        <v>-0.01</v>
      </c>
      <c r="B25" s="27">
        <f>(Valuation!$B$88*(1+Model!E12+$A25)*(1+Model!F12+$A25)*(Model!F14+B$23)+Valuation!$B$89*(1+Model!E16+$A25)*(1+Model!F16+$A25)*(Model!F18+B$23)+Model!F21+Model!F33)*(1-Model!F63)/Model!F40</f>
        <v/>
      </c>
      <c r="C25" s="27">
        <f>(Valuation!$B$88*(1+Model!E12+$A25)*(1+Model!F12+$A25)*(Model!F14+C$23)+Valuation!$B$89*(1+Model!E16+$A25)*(1+Model!F16+$A25)*(Model!F18+C$23)+Model!F21+Model!F33)*(1-Model!F63)/Model!F40</f>
        <v/>
      </c>
      <c r="D25" s="27">
        <f>(Valuation!$B$88*(1+Model!E12+$A25)*(1+Model!F12+$A25)*(Model!F14+D$23)+Valuation!$B$89*(1+Model!E16+$A25)*(1+Model!F16+$A25)*(Model!F18+D$23)+Model!F21+Model!F33)*(1-Model!F63)/Model!F40</f>
        <v/>
      </c>
      <c r="E25" s="27">
        <f>(Valuation!$B$88*(1+Model!E12+$A25)*(1+Model!F12+$A25)*(Model!F14+E$23)+Valuation!$B$89*(1+Model!E16+$A25)*(1+Model!F16+$A25)*(Model!F18+E$23)+Model!F21+Model!F33)*(1-Model!F63)/Model!F40</f>
        <v/>
      </c>
      <c r="F25" s="27">
        <f>(Valuation!$B$88*(1+Model!E12+$A25)*(1+Model!F12+$A25)*(Model!F14+F$23)+Valuation!$B$89*(1+Model!E16+$A25)*(1+Model!F16+$A25)*(Model!F18+F$23)+Model!F21+Model!F33)*(1-Model!F63)/Model!F40</f>
        <v/>
      </c>
    </row>
    <row r="26">
      <c r="A26" s="41" t="n">
        <v>0</v>
      </c>
      <c r="B26" s="27">
        <f>(Valuation!$B$88*(1+Model!E12+$A26)*(1+Model!F12+$A26)*(Model!F14+B$23)+Valuation!$B$89*(1+Model!E16+$A26)*(1+Model!F16+$A26)*(Model!F18+B$23)+Model!F21+Model!F33)*(1-Model!F63)/Model!F40</f>
        <v/>
      </c>
      <c r="C26" s="27">
        <f>(Valuation!$B$88*(1+Model!E12+$A26)*(1+Model!F12+$A26)*(Model!F14+C$23)+Valuation!$B$89*(1+Model!E16+$A26)*(1+Model!F16+$A26)*(Model!F18+C$23)+Model!F21+Model!F33)*(1-Model!F63)/Model!F40</f>
        <v/>
      </c>
      <c r="D26" s="28">
        <f>(Valuation!$B$88*(1+Model!E12+$A26)*(1+Model!F12+$A26)*(Model!F14+D$23)+Valuation!$B$89*(1+Model!E16+$A26)*(1+Model!F16+$A26)*(Model!F18+D$23)+Model!F21+Model!F33)*(1-Model!F63)/Model!F40</f>
        <v/>
      </c>
      <c r="E26" s="27">
        <f>(Valuation!$B$88*(1+Model!E12+$A26)*(1+Model!F12+$A26)*(Model!F14+E$23)+Valuation!$B$89*(1+Model!E16+$A26)*(1+Model!F16+$A26)*(Model!F18+E$23)+Model!F21+Model!F33)*(1-Model!F63)/Model!F40</f>
        <v/>
      </c>
      <c r="F26" s="27">
        <f>(Valuation!$B$88*(1+Model!E12+$A26)*(1+Model!F12+$A26)*(Model!F14+F$23)+Valuation!$B$89*(1+Model!E16+$A26)*(1+Model!F16+$A26)*(Model!F18+F$23)+Model!F21+Model!F33)*(1-Model!F63)/Model!F40</f>
        <v/>
      </c>
    </row>
    <row r="27">
      <c r="A27" s="41" t="n">
        <v>0.01</v>
      </c>
      <c r="B27" s="27">
        <f>(Valuation!$B$88*(1+Model!E12+$A27)*(1+Model!F12+$A27)*(Model!F14+B$23)+Valuation!$B$89*(1+Model!E16+$A27)*(1+Model!F16+$A27)*(Model!F18+B$23)+Model!F21+Model!F33)*(1-Model!F63)/Model!F40</f>
        <v/>
      </c>
      <c r="C27" s="27">
        <f>(Valuation!$B$88*(1+Model!E12+$A27)*(1+Model!F12+$A27)*(Model!F14+C$23)+Valuation!$B$89*(1+Model!E16+$A27)*(1+Model!F16+$A27)*(Model!F18+C$23)+Model!F21+Model!F33)*(1-Model!F63)/Model!F40</f>
        <v/>
      </c>
      <c r="D27" s="27">
        <f>(Valuation!$B$88*(1+Model!E12+$A27)*(1+Model!F12+$A27)*(Model!F14+D$23)+Valuation!$B$89*(1+Model!E16+$A27)*(1+Model!F16+$A27)*(Model!F18+D$23)+Model!F21+Model!F33)*(1-Model!F63)/Model!F40</f>
        <v/>
      </c>
      <c r="E27" s="27">
        <f>(Valuation!$B$88*(1+Model!E12+$A27)*(1+Model!F12+$A27)*(Model!F14+E$23)+Valuation!$B$89*(1+Model!E16+$A27)*(1+Model!F16+$A27)*(Model!F18+E$23)+Model!F21+Model!F33)*(1-Model!F63)/Model!F40</f>
        <v/>
      </c>
      <c r="F27" s="27">
        <f>(Valuation!$B$88*(1+Model!E12+$A27)*(1+Model!F12+$A27)*(Model!F14+F$23)+Valuation!$B$89*(1+Model!E16+$A27)*(1+Model!F16+$A27)*(Model!F18+F$23)+Model!F21+Model!F33)*(1-Model!F63)/Model!F40</f>
        <v/>
      </c>
    </row>
    <row r="28">
      <c r="A28" s="41" t="n">
        <v>0.02</v>
      </c>
      <c r="B28" s="27">
        <f>(Valuation!$B$88*(1+Model!E12+$A28)*(1+Model!F12+$A28)*(Model!F14+B$23)+Valuation!$B$89*(1+Model!E16+$A28)*(1+Model!F16+$A28)*(Model!F18+B$23)+Model!F21+Model!F33)*(1-Model!F63)/Model!F40</f>
        <v/>
      </c>
      <c r="C28" s="27">
        <f>(Valuation!$B$88*(1+Model!E12+$A28)*(1+Model!F12+$A28)*(Model!F14+C$23)+Valuation!$B$89*(1+Model!E16+$A28)*(1+Model!F16+$A28)*(Model!F18+C$23)+Model!F21+Model!F33)*(1-Model!F63)/Model!F40</f>
        <v/>
      </c>
      <c r="D28" s="27">
        <f>(Valuation!$B$88*(1+Model!E12+$A28)*(1+Model!F12+$A28)*(Model!F14+D$23)+Valuation!$B$89*(1+Model!E16+$A28)*(1+Model!F16+$A28)*(Model!F18+D$23)+Model!F21+Model!F33)*(1-Model!F63)/Model!F40</f>
        <v/>
      </c>
      <c r="E28" s="27">
        <f>(Valuation!$B$88*(1+Model!E12+$A28)*(1+Model!F12+$A28)*(Model!F14+E$23)+Valuation!$B$89*(1+Model!E16+$A28)*(1+Model!F16+$A28)*(Model!F18+E$23)+Model!F21+Model!F33)*(1-Model!F63)/Model!F40</f>
        <v/>
      </c>
      <c r="F28" s="27">
        <f>(Valuation!$B$88*(1+Model!E12+$A28)*(1+Model!F12+$A28)*(Model!F14+F$23)+Valuation!$B$89*(1+Model!E16+$A28)*(1+Model!F16+$A28)*(Model!F18+F$23)+Model!F21+Model!F33)*(1-Model!F63)/Model!F40</f>
        <v/>
      </c>
    </row>
    <row r="30">
      <c r="A30" s="2" t="inlineStr">
        <is>
          <t>Net interest and the share count are held at the base case in table 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6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MOD: 12-month distribution (mix of lognormals around each scenario value)</t>
        </is>
      </c>
    </row>
    <row r="3">
      <c r="A3" s="3" t="inlineStr">
        <is>
          <t>Scenario</t>
        </is>
      </c>
      <c r="B3" s="3" t="inlineStr">
        <is>
          <t>Probability</t>
        </is>
      </c>
      <c r="C3" s="3" t="inlineStr">
        <is>
          <t>Value at target date</t>
        </is>
      </c>
      <c r="D3" s="3" t="inlineStr">
        <is>
          <t>Story</t>
        </is>
      </c>
    </row>
    <row r="4">
      <c r="A4" t="inlineStr">
        <is>
          <t>bear</t>
        </is>
      </c>
      <c r="B4" s="12">
        <f>Valuation!B83</f>
        <v/>
      </c>
      <c r="C4" s="4">
        <f>'Calc - bear'!$F$70</f>
        <v/>
      </c>
      <c r="D4">
        <f>Valuation!J83</f>
        <v/>
      </c>
    </row>
    <row r="5">
      <c r="A5" t="inlineStr">
        <is>
          <t>base</t>
        </is>
      </c>
      <c r="B5" s="12">
        <f>Valuation!B84</f>
        <v/>
      </c>
      <c r="C5" s="4">
        <f>'Calc - base'!$F$70</f>
        <v/>
      </c>
      <c r="D5">
        <f>Valuation!J84</f>
        <v/>
      </c>
    </row>
    <row r="6">
      <c r="A6" t="inlineStr">
        <is>
          <t>bull</t>
        </is>
      </c>
      <c r="B6" s="12">
        <f>Valuation!B85</f>
        <v/>
      </c>
      <c r="C6" s="4">
        <f>'Calc - bull'!$F$70</f>
        <v/>
      </c>
      <c r="D6">
        <f>Valuation!J85</f>
        <v/>
      </c>
    </row>
    <row r="8">
      <c r="A8" t="inlineStr">
        <is>
          <t>Probabilities sum to</t>
        </is>
      </c>
      <c r="B8" s="16">
        <f>SUM(B4:B6)</f>
        <v/>
      </c>
    </row>
    <row r="9">
      <c r="A9" t="inlineStr">
        <is>
          <t>Spread within each scenario</t>
        </is>
      </c>
      <c r="B9" s="12">
        <f>Valuation!$B$66</f>
        <v/>
      </c>
    </row>
    <row r="10">
      <c r="A10" t="inlineStr">
        <is>
          <t>Probability-weighted mean</t>
        </is>
      </c>
      <c r="B10" s="9">
        <f>($B$4*$C$4+$B$5*$C$5+$B$6*$C$6)*EXP($B$9^2/2)</f>
        <v/>
      </c>
    </row>
    <row r="12">
      <c r="A12" s="3" t="inlineStr">
        <is>
          <t>Quantile</t>
        </is>
      </c>
      <c r="B12" s="3" t="inlineStr">
        <is>
          <t>Price</t>
        </is>
      </c>
    </row>
    <row r="13">
      <c r="A13" t="inlineStr">
        <is>
          <t>Median (model target)</t>
        </is>
      </c>
      <c r="B13" s="9">
        <f>SQRT(A60*B60)</f>
        <v/>
      </c>
    </row>
    <row r="14">
      <c r="A14" t="inlineStr">
        <is>
          <t>10th percentile</t>
        </is>
      </c>
      <c r="B14" s="9">
        <f>SQRT(D60*E60)</f>
        <v/>
      </c>
    </row>
    <row r="15">
      <c r="A15" t="inlineStr">
        <is>
          <t>25th percentile</t>
        </is>
      </c>
      <c r="B15" s="9">
        <f>SQRT(G60*H60)</f>
        <v/>
      </c>
    </row>
    <row r="16">
      <c r="A16" t="inlineStr">
        <is>
          <t>75th percentile</t>
        </is>
      </c>
      <c r="B16" s="9">
        <f>SQRT(J60*K60)</f>
        <v/>
      </c>
    </row>
    <row r="17">
      <c r="A17" t="inlineStr">
        <is>
          <t>90th percentile</t>
        </is>
      </c>
      <c r="B17" s="9">
        <f>SQRT(M60*N60)</f>
        <v/>
      </c>
    </row>
    <row r="19">
      <c r="A19" s="2" t="inlineStr">
        <is>
          <t>Each quantile solved by bisection (block: low, high, probability above the midpoint)</t>
        </is>
      </c>
    </row>
    <row r="20">
      <c r="A20" s="3" t="inlineStr">
        <is>
          <t>Median (model target): low</t>
        </is>
      </c>
      <c r="B20" s="3" t="inlineStr">
        <is>
          <t>high</t>
        </is>
      </c>
      <c r="C20" s="3" t="inlineStr">
        <is>
          <t>P(above mid)</t>
        </is>
      </c>
      <c r="D20" s="3" t="inlineStr">
        <is>
          <t>10th percentile: low</t>
        </is>
      </c>
      <c r="E20" s="3" t="inlineStr">
        <is>
          <t>high</t>
        </is>
      </c>
      <c r="F20" s="3" t="inlineStr">
        <is>
          <t>P(above mid)</t>
        </is>
      </c>
      <c r="G20" s="3" t="inlineStr">
        <is>
          <t>25th percentile: low</t>
        </is>
      </c>
      <c r="H20" s="3" t="inlineStr">
        <is>
          <t>high</t>
        </is>
      </c>
      <c r="I20" s="3" t="inlineStr">
        <is>
          <t>P(above mid)</t>
        </is>
      </c>
      <c r="J20" s="3" t="inlineStr">
        <is>
          <t>75th percentile: low</t>
        </is>
      </c>
      <c r="K20" s="3" t="inlineStr">
        <is>
          <t>high</t>
        </is>
      </c>
      <c r="L20" s="3" t="inlineStr">
        <is>
          <t>P(above mid)</t>
        </is>
      </c>
      <c r="M20" s="3" t="inlineStr">
        <is>
          <t>90th percentile: low</t>
        </is>
      </c>
      <c r="N20" s="3" t="inlineStr">
        <is>
          <t>high</t>
        </is>
      </c>
      <c r="O20" s="3" t="inlineStr">
        <is>
          <t>P(above mid)</t>
        </is>
      </c>
    </row>
    <row r="21">
      <c r="A21" s="9">
        <f>MIN($C$4,$C$5,$C$6)*0.2</f>
        <v/>
      </c>
      <c r="B21" s="9">
        <f>MAX($C$4,$C$5,$C$6)*4</f>
        <v/>
      </c>
      <c r="C21" s="42">
        <f>SUMPRODUCT($B$4:$B$6,1-NORMSDIST((LN(SQRT(A21*B21))-LN($C$4:$C$6))/$B$9))</f>
        <v/>
      </c>
      <c r="D21" s="9">
        <f>MIN($C$4,$C$5,$C$6)*0.2</f>
        <v/>
      </c>
      <c r="E21" s="9">
        <f>MAX($C$4,$C$5,$C$6)*4</f>
        <v/>
      </c>
      <c r="F21" s="42">
        <f>SUMPRODUCT($B$4:$B$6,1-NORMSDIST((LN(SQRT(D21*E21))-LN($C$4:$C$6))/$B$9))</f>
        <v/>
      </c>
      <c r="G21" s="9">
        <f>MIN($C$4,$C$5,$C$6)*0.2</f>
        <v/>
      </c>
      <c r="H21" s="9">
        <f>MAX($C$4,$C$5,$C$6)*4</f>
        <v/>
      </c>
      <c r="I21" s="42">
        <f>SUMPRODUCT($B$4:$B$6,1-NORMSDIST((LN(SQRT(G21*H21))-LN($C$4:$C$6))/$B$9))</f>
        <v/>
      </c>
      <c r="J21" s="9">
        <f>MIN($C$4,$C$5,$C$6)*0.2</f>
        <v/>
      </c>
      <c r="K21" s="9">
        <f>MAX($C$4,$C$5,$C$6)*4</f>
        <v/>
      </c>
      <c r="L21" s="42">
        <f>SUMPRODUCT($B$4:$B$6,1-NORMSDIST((LN(SQRT(J21*K21))-LN($C$4:$C$6))/$B$9))</f>
        <v/>
      </c>
      <c r="M21" s="9">
        <f>MIN($C$4,$C$5,$C$6)*0.2</f>
        <v/>
      </c>
      <c r="N21" s="9">
        <f>MAX($C$4,$C$5,$C$6)*4</f>
        <v/>
      </c>
      <c r="O21" s="42">
        <f>SUMPRODUCT($B$4:$B$6,1-NORMSDIST((LN(SQRT(M21*N21))-LN($C$4:$C$6))/$B$9))</f>
        <v/>
      </c>
    </row>
    <row r="22">
      <c r="A22" s="9">
        <f>IF(C21&gt;0.5,SQRT(A21*B21),A21)</f>
        <v/>
      </c>
      <c r="B22" s="9">
        <f>IF(C21&gt;0.5,B21,SQRT(A21*B21))</f>
        <v/>
      </c>
      <c r="C22" s="42">
        <f>SUMPRODUCT($B$4:$B$6,1-NORMSDIST((LN(SQRT(A22*B22))-LN($C$4:$C$6))/$B$9))</f>
        <v/>
      </c>
      <c r="D22" s="9">
        <f>IF(F21&gt;0.9,SQRT(D21*E21),D21)</f>
        <v/>
      </c>
      <c r="E22" s="9">
        <f>IF(F21&gt;0.9,E21,SQRT(D21*E21))</f>
        <v/>
      </c>
      <c r="F22" s="42">
        <f>SUMPRODUCT($B$4:$B$6,1-NORMSDIST((LN(SQRT(D22*E22))-LN($C$4:$C$6))/$B$9))</f>
        <v/>
      </c>
      <c r="G22" s="9">
        <f>IF(I21&gt;0.75,SQRT(G21*H21),G21)</f>
        <v/>
      </c>
      <c r="H22" s="9">
        <f>IF(I21&gt;0.75,H21,SQRT(G21*H21))</f>
        <v/>
      </c>
      <c r="I22" s="42">
        <f>SUMPRODUCT($B$4:$B$6,1-NORMSDIST((LN(SQRT(G22*H22))-LN($C$4:$C$6))/$B$9))</f>
        <v/>
      </c>
      <c r="J22" s="9">
        <f>IF(L21&gt;0.25,SQRT(J21*K21),J21)</f>
        <v/>
      </c>
      <c r="K22" s="9">
        <f>IF(L21&gt;0.25,K21,SQRT(J21*K21))</f>
        <v/>
      </c>
      <c r="L22" s="42">
        <f>SUMPRODUCT($B$4:$B$6,1-NORMSDIST((LN(SQRT(J22*K22))-LN($C$4:$C$6))/$B$9))</f>
        <v/>
      </c>
      <c r="M22" s="9">
        <f>IF(O21&gt;0.09999999999999998,SQRT(M21*N21),M21)</f>
        <v/>
      </c>
      <c r="N22" s="9">
        <f>IF(O21&gt;0.09999999999999998,N21,SQRT(M21*N21))</f>
        <v/>
      </c>
      <c r="O22" s="42">
        <f>SUMPRODUCT($B$4:$B$6,1-NORMSDIST((LN(SQRT(M22*N22))-LN($C$4:$C$6))/$B$9))</f>
        <v/>
      </c>
    </row>
    <row r="23">
      <c r="A23" s="9">
        <f>IF(C22&gt;0.5,SQRT(A22*B22),A22)</f>
        <v/>
      </c>
      <c r="B23" s="9">
        <f>IF(C22&gt;0.5,B22,SQRT(A22*B22))</f>
        <v/>
      </c>
      <c r="C23" s="42">
        <f>SUMPRODUCT($B$4:$B$6,1-NORMSDIST((LN(SQRT(A23*B23))-LN($C$4:$C$6))/$B$9))</f>
        <v/>
      </c>
      <c r="D23" s="9">
        <f>IF(F22&gt;0.9,SQRT(D22*E22),D22)</f>
        <v/>
      </c>
      <c r="E23" s="9">
        <f>IF(F22&gt;0.9,E22,SQRT(D22*E22))</f>
        <v/>
      </c>
      <c r="F23" s="42">
        <f>SUMPRODUCT($B$4:$B$6,1-NORMSDIST((LN(SQRT(D23*E23))-LN($C$4:$C$6))/$B$9))</f>
        <v/>
      </c>
      <c r="G23" s="9">
        <f>IF(I22&gt;0.75,SQRT(G22*H22),G22)</f>
        <v/>
      </c>
      <c r="H23" s="9">
        <f>IF(I22&gt;0.75,H22,SQRT(G22*H22))</f>
        <v/>
      </c>
      <c r="I23" s="42">
        <f>SUMPRODUCT($B$4:$B$6,1-NORMSDIST((LN(SQRT(G23*H23))-LN($C$4:$C$6))/$B$9))</f>
        <v/>
      </c>
      <c r="J23" s="9">
        <f>IF(L22&gt;0.25,SQRT(J22*K22),J22)</f>
        <v/>
      </c>
      <c r="K23" s="9">
        <f>IF(L22&gt;0.25,K22,SQRT(J22*K22))</f>
        <v/>
      </c>
      <c r="L23" s="42">
        <f>SUMPRODUCT($B$4:$B$6,1-NORMSDIST((LN(SQRT(J23*K23))-LN($C$4:$C$6))/$B$9))</f>
        <v/>
      </c>
      <c r="M23" s="9">
        <f>IF(O22&gt;0.09999999999999998,SQRT(M22*N22),M22)</f>
        <v/>
      </c>
      <c r="N23" s="9">
        <f>IF(O22&gt;0.09999999999999998,N22,SQRT(M22*N22))</f>
        <v/>
      </c>
      <c r="O23" s="42">
        <f>SUMPRODUCT($B$4:$B$6,1-NORMSDIST((LN(SQRT(M23*N23))-LN($C$4:$C$6))/$B$9))</f>
        <v/>
      </c>
    </row>
    <row r="24">
      <c r="A24" s="9">
        <f>IF(C23&gt;0.5,SQRT(A23*B23),A23)</f>
        <v/>
      </c>
      <c r="B24" s="9">
        <f>IF(C23&gt;0.5,B23,SQRT(A23*B23))</f>
        <v/>
      </c>
      <c r="C24" s="42">
        <f>SUMPRODUCT($B$4:$B$6,1-NORMSDIST((LN(SQRT(A24*B24))-LN($C$4:$C$6))/$B$9))</f>
        <v/>
      </c>
      <c r="D24" s="9">
        <f>IF(F23&gt;0.9,SQRT(D23*E23),D23)</f>
        <v/>
      </c>
      <c r="E24" s="9">
        <f>IF(F23&gt;0.9,E23,SQRT(D23*E23))</f>
        <v/>
      </c>
      <c r="F24" s="42">
        <f>SUMPRODUCT($B$4:$B$6,1-NORMSDIST((LN(SQRT(D24*E24))-LN($C$4:$C$6))/$B$9))</f>
        <v/>
      </c>
      <c r="G24" s="9">
        <f>IF(I23&gt;0.75,SQRT(G23*H23),G23)</f>
        <v/>
      </c>
      <c r="H24" s="9">
        <f>IF(I23&gt;0.75,H23,SQRT(G23*H23))</f>
        <v/>
      </c>
      <c r="I24" s="42">
        <f>SUMPRODUCT($B$4:$B$6,1-NORMSDIST((LN(SQRT(G24*H24))-LN($C$4:$C$6))/$B$9))</f>
        <v/>
      </c>
      <c r="J24" s="9">
        <f>IF(L23&gt;0.25,SQRT(J23*K23),J23)</f>
        <v/>
      </c>
      <c r="K24" s="9">
        <f>IF(L23&gt;0.25,K23,SQRT(J23*K23))</f>
        <v/>
      </c>
      <c r="L24" s="42">
        <f>SUMPRODUCT($B$4:$B$6,1-NORMSDIST((LN(SQRT(J24*K24))-LN($C$4:$C$6))/$B$9))</f>
        <v/>
      </c>
      <c r="M24" s="9">
        <f>IF(O23&gt;0.09999999999999998,SQRT(M23*N23),M23)</f>
        <v/>
      </c>
      <c r="N24" s="9">
        <f>IF(O23&gt;0.09999999999999998,N23,SQRT(M23*N23))</f>
        <v/>
      </c>
      <c r="O24" s="42">
        <f>SUMPRODUCT($B$4:$B$6,1-NORMSDIST((LN(SQRT(M24*N24))-LN($C$4:$C$6))/$B$9))</f>
        <v/>
      </c>
    </row>
    <row r="25">
      <c r="A25" s="9">
        <f>IF(C24&gt;0.5,SQRT(A24*B24),A24)</f>
        <v/>
      </c>
      <c r="B25" s="9">
        <f>IF(C24&gt;0.5,B24,SQRT(A24*B24))</f>
        <v/>
      </c>
      <c r="C25" s="42">
        <f>SUMPRODUCT($B$4:$B$6,1-NORMSDIST((LN(SQRT(A25*B25))-LN($C$4:$C$6))/$B$9))</f>
        <v/>
      </c>
      <c r="D25" s="9">
        <f>IF(F24&gt;0.9,SQRT(D24*E24),D24)</f>
        <v/>
      </c>
      <c r="E25" s="9">
        <f>IF(F24&gt;0.9,E24,SQRT(D24*E24))</f>
        <v/>
      </c>
      <c r="F25" s="42">
        <f>SUMPRODUCT($B$4:$B$6,1-NORMSDIST((LN(SQRT(D25*E25))-LN($C$4:$C$6))/$B$9))</f>
        <v/>
      </c>
      <c r="G25" s="9">
        <f>IF(I24&gt;0.75,SQRT(G24*H24),G24)</f>
        <v/>
      </c>
      <c r="H25" s="9">
        <f>IF(I24&gt;0.75,H24,SQRT(G24*H24))</f>
        <v/>
      </c>
      <c r="I25" s="42">
        <f>SUMPRODUCT($B$4:$B$6,1-NORMSDIST((LN(SQRT(G25*H25))-LN($C$4:$C$6))/$B$9))</f>
        <v/>
      </c>
      <c r="J25" s="9">
        <f>IF(L24&gt;0.25,SQRT(J24*K24),J24)</f>
        <v/>
      </c>
      <c r="K25" s="9">
        <f>IF(L24&gt;0.25,K24,SQRT(J24*K24))</f>
        <v/>
      </c>
      <c r="L25" s="42">
        <f>SUMPRODUCT($B$4:$B$6,1-NORMSDIST((LN(SQRT(J25*K25))-LN($C$4:$C$6))/$B$9))</f>
        <v/>
      </c>
      <c r="M25" s="9">
        <f>IF(O24&gt;0.09999999999999998,SQRT(M24*N24),M24)</f>
        <v/>
      </c>
      <c r="N25" s="9">
        <f>IF(O24&gt;0.09999999999999998,N24,SQRT(M24*N24))</f>
        <v/>
      </c>
      <c r="O25" s="42">
        <f>SUMPRODUCT($B$4:$B$6,1-NORMSDIST((LN(SQRT(M25*N25))-LN($C$4:$C$6))/$B$9))</f>
        <v/>
      </c>
    </row>
    <row r="26">
      <c r="A26" s="9">
        <f>IF(C25&gt;0.5,SQRT(A25*B25),A25)</f>
        <v/>
      </c>
      <c r="B26" s="9">
        <f>IF(C25&gt;0.5,B25,SQRT(A25*B25))</f>
        <v/>
      </c>
      <c r="C26" s="42">
        <f>SUMPRODUCT($B$4:$B$6,1-NORMSDIST((LN(SQRT(A26*B26))-LN($C$4:$C$6))/$B$9))</f>
        <v/>
      </c>
      <c r="D26" s="9">
        <f>IF(F25&gt;0.9,SQRT(D25*E25),D25)</f>
        <v/>
      </c>
      <c r="E26" s="9">
        <f>IF(F25&gt;0.9,E25,SQRT(D25*E25))</f>
        <v/>
      </c>
      <c r="F26" s="42">
        <f>SUMPRODUCT($B$4:$B$6,1-NORMSDIST((LN(SQRT(D26*E26))-LN($C$4:$C$6))/$B$9))</f>
        <v/>
      </c>
      <c r="G26" s="9">
        <f>IF(I25&gt;0.75,SQRT(G25*H25),G25)</f>
        <v/>
      </c>
      <c r="H26" s="9">
        <f>IF(I25&gt;0.75,H25,SQRT(G25*H25))</f>
        <v/>
      </c>
      <c r="I26" s="42">
        <f>SUMPRODUCT($B$4:$B$6,1-NORMSDIST((LN(SQRT(G26*H26))-LN($C$4:$C$6))/$B$9))</f>
        <v/>
      </c>
      <c r="J26" s="9">
        <f>IF(L25&gt;0.25,SQRT(J25*K25),J25)</f>
        <v/>
      </c>
      <c r="K26" s="9">
        <f>IF(L25&gt;0.25,K25,SQRT(J25*K25))</f>
        <v/>
      </c>
      <c r="L26" s="42">
        <f>SUMPRODUCT($B$4:$B$6,1-NORMSDIST((LN(SQRT(J26*K26))-LN($C$4:$C$6))/$B$9))</f>
        <v/>
      </c>
      <c r="M26" s="9">
        <f>IF(O25&gt;0.09999999999999998,SQRT(M25*N25),M25)</f>
        <v/>
      </c>
      <c r="N26" s="9">
        <f>IF(O25&gt;0.09999999999999998,N25,SQRT(M25*N25))</f>
        <v/>
      </c>
      <c r="O26" s="42">
        <f>SUMPRODUCT($B$4:$B$6,1-NORMSDIST((LN(SQRT(M26*N26))-LN($C$4:$C$6))/$B$9))</f>
        <v/>
      </c>
    </row>
    <row r="27">
      <c r="A27" s="9">
        <f>IF(C26&gt;0.5,SQRT(A26*B26),A26)</f>
        <v/>
      </c>
      <c r="B27" s="9">
        <f>IF(C26&gt;0.5,B26,SQRT(A26*B26))</f>
        <v/>
      </c>
      <c r="C27" s="42">
        <f>SUMPRODUCT($B$4:$B$6,1-NORMSDIST((LN(SQRT(A27*B27))-LN($C$4:$C$6))/$B$9))</f>
        <v/>
      </c>
      <c r="D27" s="9">
        <f>IF(F26&gt;0.9,SQRT(D26*E26),D26)</f>
        <v/>
      </c>
      <c r="E27" s="9">
        <f>IF(F26&gt;0.9,E26,SQRT(D26*E26))</f>
        <v/>
      </c>
      <c r="F27" s="42">
        <f>SUMPRODUCT($B$4:$B$6,1-NORMSDIST((LN(SQRT(D27*E27))-LN($C$4:$C$6))/$B$9))</f>
        <v/>
      </c>
      <c r="G27" s="9">
        <f>IF(I26&gt;0.75,SQRT(G26*H26),G26)</f>
        <v/>
      </c>
      <c r="H27" s="9">
        <f>IF(I26&gt;0.75,H26,SQRT(G26*H26))</f>
        <v/>
      </c>
      <c r="I27" s="42">
        <f>SUMPRODUCT($B$4:$B$6,1-NORMSDIST((LN(SQRT(G27*H27))-LN($C$4:$C$6))/$B$9))</f>
        <v/>
      </c>
      <c r="J27" s="9">
        <f>IF(L26&gt;0.25,SQRT(J26*K26),J26)</f>
        <v/>
      </c>
      <c r="K27" s="9">
        <f>IF(L26&gt;0.25,K26,SQRT(J26*K26))</f>
        <v/>
      </c>
      <c r="L27" s="42">
        <f>SUMPRODUCT($B$4:$B$6,1-NORMSDIST((LN(SQRT(J27*K27))-LN($C$4:$C$6))/$B$9))</f>
        <v/>
      </c>
      <c r="M27" s="9">
        <f>IF(O26&gt;0.09999999999999998,SQRT(M26*N26),M26)</f>
        <v/>
      </c>
      <c r="N27" s="9">
        <f>IF(O26&gt;0.09999999999999998,N26,SQRT(M26*N26))</f>
        <v/>
      </c>
      <c r="O27" s="42">
        <f>SUMPRODUCT($B$4:$B$6,1-NORMSDIST((LN(SQRT(M27*N27))-LN($C$4:$C$6))/$B$9))</f>
        <v/>
      </c>
    </row>
    <row r="28">
      <c r="A28" s="9">
        <f>IF(C27&gt;0.5,SQRT(A27*B27),A27)</f>
        <v/>
      </c>
      <c r="B28" s="9">
        <f>IF(C27&gt;0.5,B27,SQRT(A27*B27))</f>
        <v/>
      </c>
      <c r="C28" s="42">
        <f>SUMPRODUCT($B$4:$B$6,1-NORMSDIST((LN(SQRT(A28*B28))-LN($C$4:$C$6))/$B$9))</f>
        <v/>
      </c>
      <c r="D28" s="9">
        <f>IF(F27&gt;0.9,SQRT(D27*E27),D27)</f>
        <v/>
      </c>
      <c r="E28" s="9">
        <f>IF(F27&gt;0.9,E27,SQRT(D27*E27))</f>
        <v/>
      </c>
      <c r="F28" s="42">
        <f>SUMPRODUCT($B$4:$B$6,1-NORMSDIST((LN(SQRT(D28*E28))-LN($C$4:$C$6))/$B$9))</f>
        <v/>
      </c>
      <c r="G28" s="9">
        <f>IF(I27&gt;0.75,SQRT(G27*H27),G27)</f>
        <v/>
      </c>
      <c r="H28" s="9">
        <f>IF(I27&gt;0.75,H27,SQRT(G27*H27))</f>
        <v/>
      </c>
      <c r="I28" s="42">
        <f>SUMPRODUCT($B$4:$B$6,1-NORMSDIST((LN(SQRT(G28*H28))-LN($C$4:$C$6))/$B$9))</f>
        <v/>
      </c>
      <c r="J28" s="9">
        <f>IF(L27&gt;0.25,SQRT(J27*K27),J27)</f>
        <v/>
      </c>
      <c r="K28" s="9">
        <f>IF(L27&gt;0.25,K27,SQRT(J27*K27))</f>
        <v/>
      </c>
      <c r="L28" s="42">
        <f>SUMPRODUCT($B$4:$B$6,1-NORMSDIST((LN(SQRT(J28*K28))-LN($C$4:$C$6))/$B$9))</f>
        <v/>
      </c>
      <c r="M28" s="9">
        <f>IF(O27&gt;0.09999999999999998,SQRT(M27*N27),M27)</f>
        <v/>
      </c>
      <c r="N28" s="9">
        <f>IF(O27&gt;0.09999999999999998,N27,SQRT(M27*N27))</f>
        <v/>
      </c>
      <c r="O28" s="42">
        <f>SUMPRODUCT($B$4:$B$6,1-NORMSDIST((LN(SQRT(M28*N28))-LN($C$4:$C$6))/$B$9))</f>
        <v/>
      </c>
    </row>
    <row r="29">
      <c r="A29" s="9">
        <f>IF(C28&gt;0.5,SQRT(A28*B28),A28)</f>
        <v/>
      </c>
      <c r="B29" s="9">
        <f>IF(C28&gt;0.5,B28,SQRT(A28*B28))</f>
        <v/>
      </c>
      <c r="C29" s="42">
        <f>SUMPRODUCT($B$4:$B$6,1-NORMSDIST((LN(SQRT(A29*B29))-LN($C$4:$C$6))/$B$9))</f>
        <v/>
      </c>
      <c r="D29" s="9">
        <f>IF(F28&gt;0.9,SQRT(D28*E28),D28)</f>
        <v/>
      </c>
      <c r="E29" s="9">
        <f>IF(F28&gt;0.9,E28,SQRT(D28*E28))</f>
        <v/>
      </c>
      <c r="F29" s="42">
        <f>SUMPRODUCT($B$4:$B$6,1-NORMSDIST((LN(SQRT(D29*E29))-LN($C$4:$C$6))/$B$9))</f>
        <v/>
      </c>
      <c r="G29" s="9">
        <f>IF(I28&gt;0.75,SQRT(G28*H28),G28)</f>
        <v/>
      </c>
      <c r="H29" s="9">
        <f>IF(I28&gt;0.75,H28,SQRT(G28*H28))</f>
        <v/>
      </c>
      <c r="I29" s="42">
        <f>SUMPRODUCT($B$4:$B$6,1-NORMSDIST((LN(SQRT(G29*H29))-LN($C$4:$C$6))/$B$9))</f>
        <v/>
      </c>
      <c r="J29" s="9">
        <f>IF(L28&gt;0.25,SQRT(J28*K28),J28)</f>
        <v/>
      </c>
      <c r="K29" s="9">
        <f>IF(L28&gt;0.25,K28,SQRT(J28*K28))</f>
        <v/>
      </c>
      <c r="L29" s="42">
        <f>SUMPRODUCT($B$4:$B$6,1-NORMSDIST((LN(SQRT(J29*K29))-LN($C$4:$C$6))/$B$9))</f>
        <v/>
      </c>
      <c r="M29" s="9">
        <f>IF(O28&gt;0.09999999999999998,SQRT(M28*N28),M28)</f>
        <v/>
      </c>
      <c r="N29" s="9">
        <f>IF(O28&gt;0.09999999999999998,N28,SQRT(M28*N28))</f>
        <v/>
      </c>
      <c r="O29" s="42">
        <f>SUMPRODUCT($B$4:$B$6,1-NORMSDIST((LN(SQRT(M29*N29))-LN($C$4:$C$6))/$B$9))</f>
        <v/>
      </c>
    </row>
    <row r="30">
      <c r="A30" s="9">
        <f>IF(C29&gt;0.5,SQRT(A29*B29),A29)</f>
        <v/>
      </c>
      <c r="B30" s="9">
        <f>IF(C29&gt;0.5,B29,SQRT(A29*B29))</f>
        <v/>
      </c>
      <c r="C30" s="42">
        <f>SUMPRODUCT($B$4:$B$6,1-NORMSDIST((LN(SQRT(A30*B30))-LN($C$4:$C$6))/$B$9))</f>
        <v/>
      </c>
      <c r="D30" s="9">
        <f>IF(F29&gt;0.9,SQRT(D29*E29),D29)</f>
        <v/>
      </c>
      <c r="E30" s="9">
        <f>IF(F29&gt;0.9,E29,SQRT(D29*E29))</f>
        <v/>
      </c>
      <c r="F30" s="42">
        <f>SUMPRODUCT($B$4:$B$6,1-NORMSDIST((LN(SQRT(D30*E30))-LN($C$4:$C$6))/$B$9))</f>
        <v/>
      </c>
      <c r="G30" s="9">
        <f>IF(I29&gt;0.75,SQRT(G29*H29),G29)</f>
        <v/>
      </c>
      <c r="H30" s="9">
        <f>IF(I29&gt;0.75,H29,SQRT(G29*H29))</f>
        <v/>
      </c>
      <c r="I30" s="42">
        <f>SUMPRODUCT($B$4:$B$6,1-NORMSDIST((LN(SQRT(G30*H30))-LN($C$4:$C$6))/$B$9))</f>
        <v/>
      </c>
      <c r="J30" s="9">
        <f>IF(L29&gt;0.25,SQRT(J29*K29),J29)</f>
        <v/>
      </c>
      <c r="K30" s="9">
        <f>IF(L29&gt;0.25,K29,SQRT(J29*K29))</f>
        <v/>
      </c>
      <c r="L30" s="42">
        <f>SUMPRODUCT($B$4:$B$6,1-NORMSDIST((LN(SQRT(J30*K30))-LN($C$4:$C$6))/$B$9))</f>
        <v/>
      </c>
      <c r="M30" s="9">
        <f>IF(O29&gt;0.09999999999999998,SQRT(M29*N29),M29)</f>
        <v/>
      </c>
      <c r="N30" s="9">
        <f>IF(O29&gt;0.09999999999999998,N29,SQRT(M29*N29))</f>
        <v/>
      </c>
      <c r="O30" s="42">
        <f>SUMPRODUCT($B$4:$B$6,1-NORMSDIST((LN(SQRT(M30*N30))-LN($C$4:$C$6))/$B$9))</f>
        <v/>
      </c>
    </row>
    <row r="31">
      <c r="A31" s="9">
        <f>IF(C30&gt;0.5,SQRT(A30*B30),A30)</f>
        <v/>
      </c>
      <c r="B31" s="9">
        <f>IF(C30&gt;0.5,B30,SQRT(A30*B30))</f>
        <v/>
      </c>
      <c r="C31" s="42">
        <f>SUMPRODUCT($B$4:$B$6,1-NORMSDIST((LN(SQRT(A31*B31))-LN($C$4:$C$6))/$B$9))</f>
        <v/>
      </c>
      <c r="D31" s="9">
        <f>IF(F30&gt;0.9,SQRT(D30*E30),D30)</f>
        <v/>
      </c>
      <c r="E31" s="9">
        <f>IF(F30&gt;0.9,E30,SQRT(D30*E30))</f>
        <v/>
      </c>
      <c r="F31" s="42">
        <f>SUMPRODUCT($B$4:$B$6,1-NORMSDIST((LN(SQRT(D31*E31))-LN($C$4:$C$6))/$B$9))</f>
        <v/>
      </c>
      <c r="G31" s="9">
        <f>IF(I30&gt;0.75,SQRT(G30*H30),G30)</f>
        <v/>
      </c>
      <c r="H31" s="9">
        <f>IF(I30&gt;0.75,H30,SQRT(G30*H30))</f>
        <v/>
      </c>
      <c r="I31" s="42">
        <f>SUMPRODUCT($B$4:$B$6,1-NORMSDIST((LN(SQRT(G31*H31))-LN($C$4:$C$6))/$B$9))</f>
        <v/>
      </c>
      <c r="J31" s="9">
        <f>IF(L30&gt;0.25,SQRT(J30*K30),J30)</f>
        <v/>
      </c>
      <c r="K31" s="9">
        <f>IF(L30&gt;0.25,K30,SQRT(J30*K30))</f>
        <v/>
      </c>
      <c r="L31" s="42">
        <f>SUMPRODUCT($B$4:$B$6,1-NORMSDIST((LN(SQRT(J31*K31))-LN($C$4:$C$6))/$B$9))</f>
        <v/>
      </c>
      <c r="M31" s="9">
        <f>IF(O30&gt;0.09999999999999998,SQRT(M30*N30),M30)</f>
        <v/>
      </c>
      <c r="N31" s="9">
        <f>IF(O30&gt;0.09999999999999998,N30,SQRT(M30*N30))</f>
        <v/>
      </c>
      <c r="O31" s="42">
        <f>SUMPRODUCT($B$4:$B$6,1-NORMSDIST((LN(SQRT(M31*N31))-LN($C$4:$C$6))/$B$9))</f>
        <v/>
      </c>
    </row>
    <row r="32">
      <c r="A32" s="9">
        <f>IF(C31&gt;0.5,SQRT(A31*B31),A31)</f>
        <v/>
      </c>
      <c r="B32" s="9">
        <f>IF(C31&gt;0.5,B31,SQRT(A31*B31))</f>
        <v/>
      </c>
      <c r="C32" s="42">
        <f>SUMPRODUCT($B$4:$B$6,1-NORMSDIST((LN(SQRT(A32*B32))-LN($C$4:$C$6))/$B$9))</f>
        <v/>
      </c>
      <c r="D32" s="9">
        <f>IF(F31&gt;0.9,SQRT(D31*E31),D31)</f>
        <v/>
      </c>
      <c r="E32" s="9">
        <f>IF(F31&gt;0.9,E31,SQRT(D31*E31))</f>
        <v/>
      </c>
      <c r="F32" s="42">
        <f>SUMPRODUCT($B$4:$B$6,1-NORMSDIST((LN(SQRT(D32*E32))-LN($C$4:$C$6))/$B$9))</f>
        <v/>
      </c>
      <c r="G32" s="9">
        <f>IF(I31&gt;0.75,SQRT(G31*H31),G31)</f>
        <v/>
      </c>
      <c r="H32" s="9">
        <f>IF(I31&gt;0.75,H31,SQRT(G31*H31))</f>
        <v/>
      </c>
      <c r="I32" s="42">
        <f>SUMPRODUCT($B$4:$B$6,1-NORMSDIST((LN(SQRT(G32*H32))-LN($C$4:$C$6))/$B$9))</f>
        <v/>
      </c>
      <c r="J32" s="9">
        <f>IF(L31&gt;0.25,SQRT(J31*K31),J31)</f>
        <v/>
      </c>
      <c r="K32" s="9">
        <f>IF(L31&gt;0.25,K31,SQRT(J31*K31))</f>
        <v/>
      </c>
      <c r="L32" s="42">
        <f>SUMPRODUCT($B$4:$B$6,1-NORMSDIST((LN(SQRT(J32*K32))-LN($C$4:$C$6))/$B$9))</f>
        <v/>
      </c>
      <c r="M32" s="9">
        <f>IF(O31&gt;0.09999999999999998,SQRT(M31*N31),M31)</f>
        <v/>
      </c>
      <c r="N32" s="9">
        <f>IF(O31&gt;0.09999999999999998,N31,SQRT(M31*N31))</f>
        <v/>
      </c>
      <c r="O32" s="42">
        <f>SUMPRODUCT($B$4:$B$6,1-NORMSDIST((LN(SQRT(M32*N32))-LN($C$4:$C$6))/$B$9))</f>
        <v/>
      </c>
    </row>
    <row r="33">
      <c r="A33" s="9">
        <f>IF(C32&gt;0.5,SQRT(A32*B32),A32)</f>
        <v/>
      </c>
      <c r="B33" s="9">
        <f>IF(C32&gt;0.5,B32,SQRT(A32*B32))</f>
        <v/>
      </c>
      <c r="C33" s="42">
        <f>SUMPRODUCT($B$4:$B$6,1-NORMSDIST((LN(SQRT(A33*B33))-LN($C$4:$C$6))/$B$9))</f>
        <v/>
      </c>
      <c r="D33" s="9">
        <f>IF(F32&gt;0.9,SQRT(D32*E32),D32)</f>
        <v/>
      </c>
      <c r="E33" s="9">
        <f>IF(F32&gt;0.9,E32,SQRT(D32*E32))</f>
        <v/>
      </c>
      <c r="F33" s="42">
        <f>SUMPRODUCT($B$4:$B$6,1-NORMSDIST((LN(SQRT(D33*E33))-LN($C$4:$C$6))/$B$9))</f>
        <v/>
      </c>
      <c r="G33" s="9">
        <f>IF(I32&gt;0.75,SQRT(G32*H32),G32)</f>
        <v/>
      </c>
      <c r="H33" s="9">
        <f>IF(I32&gt;0.75,H32,SQRT(G32*H32))</f>
        <v/>
      </c>
      <c r="I33" s="42">
        <f>SUMPRODUCT($B$4:$B$6,1-NORMSDIST((LN(SQRT(G33*H33))-LN($C$4:$C$6))/$B$9))</f>
        <v/>
      </c>
      <c r="J33" s="9">
        <f>IF(L32&gt;0.25,SQRT(J32*K32),J32)</f>
        <v/>
      </c>
      <c r="K33" s="9">
        <f>IF(L32&gt;0.25,K32,SQRT(J32*K32))</f>
        <v/>
      </c>
      <c r="L33" s="42">
        <f>SUMPRODUCT($B$4:$B$6,1-NORMSDIST((LN(SQRT(J33*K33))-LN($C$4:$C$6))/$B$9))</f>
        <v/>
      </c>
      <c r="M33" s="9">
        <f>IF(O32&gt;0.09999999999999998,SQRT(M32*N32),M32)</f>
        <v/>
      </c>
      <c r="N33" s="9">
        <f>IF(O32&gt;0.09999999999999998,N32,SQRT(M32*N32))</f>
        <v/>
      </c>
      <c r="O33" s="42">
        <f>SUMPRODUCT($B$4:$B$6,1-NORMSDIST((LN(SQRT(M33*N33))-LN($C$4:$C$6))/$B$9))</f>
        <v/>
      </c>
    </row>
    <row r="34">
      <c r="A34" s="9">
        <f>IF(C33&gt;0.5,SQRT(A33*B33),A33)</f>
        <v/>
      </c>
      <c r="B34" s="9">
        <f>IF(C33&gt;0.5,B33,SQRT(A33*B33))</f>
        <v/>
      </c>
      <c r="C34" s="42">
        <f>SUMPRODUCT($B$4:$B$6,1-NORMSDIST((LN(SQRT(A34*B34))-LN($C$4:$C$6))/$B$9))</f>
        <v/>
      </c>
      <c r="D34" s="9">
        <f>IF(F33&gt;0.9,SQRT(D33*E33),D33)</f>
        <v/>
      </c>
      <c r="E34" s="9">
        <f>IF(F33&gt;0.9,E33,SQRT(D33*E33))</f>
        <v/>
      </c>
      <c r="F34" s="42">
        <f>SUMPRODUCT($B$4:$B$6,1-NORMSDIST((LN(SQRT(D34*E34))-LN($C$4:$C$6))/$B$9))</f>
        <v/>
      </c>
      <c r="G34" s="9">
        <f>IF(I33&gt;0.75,SQRT(G33*H33),G33)</f>
        <v/>
      </c>
      <c r="H34" s="9">
        <f>IF(I33&gt;0.75,H33,SQRT(G33*H33))</f>
        <v/>
      </c>
      <c r="I34" s="42">
        <f>SUMPRODUCT($B$4:$B$6,1-NORMSDIST((LN(SQRT(G34*H34))-LN($C$4:$C$6))/$B$9))</f>
        <v/>
      </c>
      <c r="J34" s="9">
        <f>IF(L33&gt;0.25,SQRT(J33*K33),J33)</f>
        <v/>
      </c>
      <c r="K34" s="9">
        <f>IF(L33&gt;0.25,K33,SQRT(J33*K33))</f>
        <v/>
      </c>
      <c r="L34" s="42">
        <f>SUMPRODUCT($B$4:$B$6,1-NORMSDIST((LN(SQRT(J34*K34))-LN($C$4:$C$6))/$B$9))</f>
        <v/>
      </c>
      <c r="M34" s="9">
        <f>IF(O33&gt;0.09999999999999998,SQRT(M33*N33),M33)</f>
        <v/>
      </c>
      <c r="N34" s="9">
        <f>IF(O33&gt;0.09999999999999998,N33,SQRT(M33*N33))</f>
        <v/>
      </c>
      <c r="O34" s="42">
        <f>SUMPRODUCT($B$4:$B$6,1-NORMSDIST((LN(SQRT(M34*N34))-LN($C$4:$C$6))/$B$9))</f>
        <v/>
      </c>
    </row>
    <row r="35">
      <c r="A35" s="9">
        <f>IF(C34&gt;0.5,SQRT(A34*B34),A34)</f>
        <v/>
      </c>
      <c r="B35" s="9">
        <f>IF(C34&gt;0.5,B34,SQRT(A34*B34))</f>
        <v/>
      </c>
      <c r="C35" s="42">
        <f>SUMPRODUCT($B$4:$B$6,1-NORMSDIST((LN(SQRT(A35*B35))-LN($C$4:$C$6))/$B$9))</f>
        <v/>
      </c>
      <c r="D35" s="9">
        <f>IF(F34&gt;0.9,SQRT(D34*E34),D34)</f>
        <v/>
      </c>
      <c r="E35" s="9">
        <f>IF(F34&gt;0.9,E34,SQRT(D34*E34))</f>
        <v/>
      </c>
      <c r="F35" s="42">
        <f>SUMPRODUCT($B$4:$B$6,1-NORMSDIST((LN(SQRT(D35*E35))-LN($C$4:$C$6))/$B$9))</f>
        <v/>
      </c>
      <c r="G35" s="9">
        <f>IF(I34&gt;0.75,SQRT(G34*H34),G34)</f>
        <v/>
      </c>
      <c r="H35" s="9">
        <f>IF(I34&gt;0.75,H34,SQRT(G34*H34))</f>
        <v/>
      </c>
      <c r="I35" s="42">
        <f>SUMPRODUCT($B$4:$B$6,1-NORMSDIST((LN(SQRT(G35*H35))-LN($C$4:$C$6))/$B$9))</f>
        <v/>
      </c>
      <c r="J35" s="9">
        <f>IF(L34&gt;0.25,SQRT(J34*K34),J34)</f>
        <v/>
      </c>
      <c r="K35" s="9">
        <f>IF(L34&gt;0.25,K34,SQRT(J34*K34))</f>
        <v/>
      </c>
      <c r="L35" s="42">
        <f>SUMPRODUCT($B$4:$B$6,1-NORMSDIST((LN(SQRT(J35*K35))-LN($C$4:$C$6))/$B$9))</f>
        <v/>
      </c>
      <c r="M35" s="9">
        <f>IF(O34&gt;0.09999999999999998,SQRT(M34*N34),M34)</f>
        <v/>
      </c>
      <c r="N35" s="9">
        <f>IF(O34&gt;0.09999999999999998,N34,SQRT(M34*N34))</f>
        <v/>
      </c>
      <c r="O35" s="42">
        <f>SUMPRODUCT($B$4:$B$6,1-NORMSDIST((LN(SQRT(M35*N35))-LN($C$4:$C$6))/$B$9))</f>
        <v/>
      </c>
    </row>
    <row r="36">
      <c r="A36" s="9">
        <f>IF(C35&gt;0.5,SQRT(A35*B35),A35)</f>
        <v/>
      </c>
      <c r="B36" s="9">
        <f>IF(C35&gt;0.5,B35,SQRT(A35*B35))</f>
        <v/>
      </c>
      <c r="C36" s="42">
        <f>SUMPRODUCT($B$4:$B$6,1-NORMSDIST((LN(SQRT(A36*B36))-LN($C$4:$C$6))/$B$9))</f>
        <v/>
      </c>
      <c r="D36" s="9">
        <f>IF(F35&gt;0.9,SQRT(D35*E35),D35)</f>
        <v/>
      </c>
      <c r="E36" s="9">
        <f>IF(F35&gt;0.9,E35,SQRT(D35*E35))</f>
        <v/>
      </c>
      <c r="F36" s="42">
        <f>SUMPRODUCT($B$4:$B$6,1-NORMSDIST((LN(SQRT(D36*E36))-LN($C$4:$C$6))/$B$9))</f>
        <v/>
      </c>
      <c r="G36" s="9">
        <f>IF(I35&gt;0.75,SQRT(G35*H35),G35)</f>
        <v/>
      </c>
      <c r="H36" s="9">
        <f>IF(I35&gt;0.75,H35,SQRT(G35*H35))</f>
        <v/>
      </c>
      <c r="I36" s="42">
        <f>SUMPRODUCT($B$4:$B$6,1-NORMSDIST((LN(SQRT(G36*H36))-LN($C$4:$C$6))/$B$9))</f>
        <v/>
      </c>
      <c r="J36" s="9">
        <f>IF(L35&gt;0.25,SQRT(J35*K35),J35)</f>
        <v/>
      </c>
      <c r="K36" s="9">
        <f>IF(L35&gt;0.25,K35,SQRT(J35*K35))</f>
        <v/>
      </c>
      <c r="L36" s="42">
        <f>SUMPRODUCT($B$4:$B$6,1-NORMSDIST((LN(SQRT(J36*K36))-LN($C$4:$C$6))/$B$9))</f>
        <v/>
      </c>
      <c r="M36" s="9">
        <f>IF(O35&gt;0.09999999999999998,SQRT(M35*N35),M35)</f>
        <v/>
      </c>
      <c r="N36" s="9">
        <f>IF(O35&gt;0.09999999999999998,N35,SQRT(M35*N35))</f>
        <v/>
      </c>
      <c r="O36" s="42">
        <f>SUMPRODUCT($B$4:$B$6,1-NORMSDIST((LN(SQRT(M36*N36))-LN($C$4:$C$6))/$B$9))</f>
        <v/>
      </c>
    </row>
    <row r="37">
      <c r="A37" s="9">
        <f>IF(C36&gt;0.5,SQRT(A36*B36),A36)</f>
        <v/>
      </c>
      <c r="B37" s="9">
        <f>IF(C36&gt;0.5,B36,SQRT(A36*B36))</f>
        <v/>
      </c>
      <c r="C37" s="42">
        <f>SUMPRODUCT($B$4:$B$6,1-NORMSDIST((LN(SQRT(A37*B37))-LN($C$4:$C$6))/$B$9))</f>
        <v/>
      </c>
      <c r="D37" s="9">
        <f>IF(F36&gt;0.9,SQRT(D36*E36),D36)</f>
        <v/>
      </c>
      <c r="E37" s="9">
        <f>IF(F36&gt;0.9,E36,SQRT(D36*E36))</f>
        <v/>
      </c>
      <c r="F37" s="42">
        <f>SUMPRODUCT($B$4:$B$6,1-NORMSDIST((LN(SQRT(D37*E37))-LN($C$4:$C$6))/$B$9))</f>
        <v/>
      </c>
      <c r="G37" s="9">
        <f>IF(I36&gt;0.75,SQRT(G36*H36),G36)</f>
        <v/>
      </c>
      <c r="H37" s="9">
        <f>IF(I36&gt;0.75,H36,SQRT(G36*H36))</f>
        <v/>
      </c>
      <c r="I37" s="42">
        <f>SUMPRODUCT($B$4:$B$6,1-NORMSDIST((LN(SQRT(G37*H37))-LN($C$4:$C$6))/$B$9))</f>
        <v/>
      </c>
      <c r="J37" s="9">
        <f>IF(L36&gt;0.25,SQRT(J36*K36),J36)</f>
        <v/>
      </c>
      <c r="K37" s="9">
        <f>IF(L36&gt;0.25,K36,SQRT(J36*K36))</f>
        <v/>
      </c>
      <c r="L37" s="42">
        <f>SUMPRODUCT($B$4:$B$6,1-NORMSDIST((LN(SQRT(J37*K37))-LN($C$4:$C$6))/$B$9))</f>
        <v/>
      </c>
      <c r="M37" s="9">
        <f>IF(O36&gt;0.09999999999999998,SQRT(M36*N36),M36)</f>
        <v/>
      </c>
      <c r="N37" s="9">
        <f>IF(O36&gt;0.09999999999999998,N36,SQRT(M36*N36))</f>
        <v/>
      </c>
      <c r="O37" s="42">
        <f>SUMPRODUCT($B$4:$B$6,1-NORMSDIST((LN(SQRT(M37*N37))-LN($C$4:$C$6))/$B$9))</f>
        <v/>
      </c>
    </row>
    <row r="38">
      <c r="A38" s="9">
        <f>IF(C37&gt;0.5,SQRT(A37*B37),A37)</f>
        <v/>
      </c>
      <c r="B38" s="9">
        <f>IF(C37&gt;0.5,B37,SQRT(A37*B37))</f>
        <v/>
      </c>
      <c r="C38" s="42">
        <f>SUMPRODUCT($B$4:$B$6,1-NORMSDIST((LN(SQRT(A38*B38))-LN($C$4:$C$6))/$B$9))</f>
        <v/>
      </c>
      <c r="D38" s="9">
        <f>IF(F37&gt;0.9,SQRT(D37*E37),D37)</f>
        <v/>
      </c>
      <c r="E38" s="9">
        <f>IF(F37&gt;0.9,E37,SQRT(D37*E37))</f>
        <v/>
      </c>
      <c r="F38" s="42">
        <f>SUMPRODUCT($B$4:$B$6,1-NORMSDIST((LN(SQRT(D38*E38))-LN($C$4:$C$6))/$B$9))</f>
        <v/>
      </c>
      <c r="G38" s="9">
        <f>IF(I37&gt;0.75,SQRT(G37*H37),G37)</f>
        <v/>
      </c>
      <c r="H38" s="9">
        <f>IF(I37&gt;0.75,H37,SQRT(G37*H37))</f>
        <v/>
      </c>
      <c r="I38" s="42">
        <f>SUMPRODUCT($B$4:$B$6,1-NORMSDIST((LN(SQRT(G38*H38))-LN($C$4:$C$6))/$B$9))</f>
        <v/>
      </c>
      <c r="J38" s="9">
        <f>IF(L37&gt;0.25,SQRT(J37*K37),J37)</f>
        <v/>
      </c>
      <c r="K38" s="9">
        <f>IF(L37&gt;0.25,K37,SQRT(J37*K37))</f>
        <v/>
      </c>
      <c r="L38" s="42">
        <f>SUMPRODUCT($B$4:$B$6,1-NORMSDIST((LN(SQRT(J38*K38))-LN($C$4:$C$6))/$B$9))</f>
        <v/>
      </c>
      <c r="M38" s="9">
        <f>IF(O37&gt;0.09999999999999998,SQRT(M37*N37),M37)</f>
        <v/>
      </c>
      <c r="N38" s="9">
        <f>IF(O37&gt;0.09999999999999998,N37,SQRT(M37*N37))</f>
        <v/>
      </c>
      <c r="O38" s="42">
        <f>SUMPRODUCT($B$4:$B$6,1-NORMSDIST((LN(SQRT(M38*N38))-LN($C$4:$C$6))/$B$9))</f>
        <v/>
      </c>
    </row>
    <row r="39">
      <c r="A39" s="9">
        <f>IF(C38&gt;0.5,SQRT(A38*B38),A38)</f>
        <v/>
      </c>
      <c r="B39" s="9">
        <f>IF(C38&gt;0.5,B38,SQRT(A38*B38))</f>
        <v/>
      </c>
      <c r="C39" s="42">
        <f>SUMPRODUCT($B$4:$B$6,1-NORMSDIST((LN(SQRT(A39*B39))-LN($C$4:$C$6))/$B$9))</f>
        <v/>
      </c>
      <c r="D39" s="9">
        <f>IF(F38&gt;0.9,SQRT(D38*E38),D38)</f>
        <v/>
      </c>
      <c r="E39" s="9">
        <f>IF(F38&gt;0.9,E38,SQRT(D38*E38))</f>
        <v/>
      </c>
      <c r="F39" s="42">
        <f>SUMPRODUCT($B$4:$B$6,1-NORMSDIST((LN(SQRT(D39*E39))-LN($C$4:$C$6))/$B$9))</f>
        <v/>
      </c>
      <c r="G39" s="9">
        <f>IF(I38&gt;0.75,SQRT(G38*H38),G38)</f>
        <v/>
      </c>
      <c r="H39" s="9">
        <f>IF(I38&gt;0.75,H38,SQRT(G38*H38))</f>
        <v/>
      </c>
      <c r="I39" s="42">
        <f>SUMPRODUCT($B$4:$B$6,1-NORMSDIST((LN(SQRT(G39*H39))-LN($C$4:$C$6))/$B$9))</f>
        <v/>
      </c>
      <c r="J39" s="9">
        <f>IF(L38&gt;0.25,SQRT(J38*K38),J38)</f>
        <v/>
      </c>
      <c r="K39" s="9">
        <f>IF(L38&gt;0.25,K38,SQRT(J38*K38))</f>
        <v/>
      </c>
      <c r="L39" s="42">
        <f>SUMPRODUCT($B$4:$B$6,1-NORMSDIST((LN(SQRT(J39*K39))-LN($C$4:$C$6))/$B$9))</f>
        <v/>
      </c>
      <c r="M39" s="9">
        <f>IF(O38&gt;0.09999999999999998,SQRT(M38*N38),M38)</f>
        <v/>
      </c>
      <c r="N39" s="9">
        <f>IF(O38&gt;0.09999999999999998,N38,SQRT(M38*N38))</f>
        <v/>
      </c>
      <c r="O39" s="42">
        <f>SUMPRODUCT($B$4:$B$6,1-NORMSDIST((LN(SQRT(M39*N39))-LN($C$4:$C$6))/$B$9))</f>
        <v/>
      </c>
    </row>
    <row r="40">
      <c r="A40" s="9">
        <f>IF(C39&gt;0.5,SQRT(A39*B39),A39)</f>
        <v/>
      </c>
      <c r="B40" s="9">
        <f>IF(C39&gt;0.5,B39,SQRT(A39*B39))</f>
        <v/>
      </c>
      <c r="C40" s="42">
        <f>SUMPRODUCT($B$4:$B$6,1-NORMSDIST((LN(SQRT(A40*B40))-LN($C$4:$C$6))/$B$9))</f>
        <v/>
      </c>
      <c r="D40" s="9">
        <f>IF(F39&gt;0.9,SQRT(D39*E39),D39)</f>
        <v/>
      </c>
      <c r="E40" s="9">
        <f>IF(F39&gt;0.9,E39,SQRT(D39*E39))</f>
        <v/>
      </c>
      <c r="F40" s="42">
        <f>SUMPRODUCT($B$4:$B$6,1-NORMSDIST((LN(SQRT(D40*E40))-LN($C$4:$C$6))/$B$9))</f>
        <v/>
      </c>
      <c r="G40" s="9">
        <f>IF(I39&gt;0.75,SQRT(G39*H39),G39)</f>
        <v/>
      </c>
      <c r="H40" s="9">
        <f>IF(I39&gt;0.75,H39,SQRT(G39*H39))</f>
        <v/>
      </c>
      <c r="I40" s="42">
        <f>SUMPRODUCT($B$4:$B$6,1-NORMSDIST((LN(SQRT(G40*H40))-LN($C$4:$C$6))/$B$9))</f>
        <v/>
      </c>
      <c r="J40" s="9">
        <f>IF(L39&gt;0.25,SQRT(J39*K39),J39)</f>
        <v/>
      </c>
      <c r="K40" s="9">
        <f>IF(L39&gt;0.25,K39,SQRT(J39*K39))</f>
        <v/>
      </c>
      <c r="L40" s="42">
        <f>SUMPRODUCT($B$4:$B$6,1-NORMSDIST((LN(SQRT(J40*K40))-LN($C$4:$C$6))/$B$9))</f>
        <v/>
      </c>
      <c r="M40" s="9">
        <f>IF(O39&gt;0.09999999999999998,SQRT(M39*N39),M39)</f>
        <v/>
      </c>
      <c r="N40" s="9">
        <f>IF(O39&gt;0.09999999999999998,N39,SQRT(M39*N39))</f>
        <v/>
      </c>
      <c r="O40" s="42">
        <f>SUMPRODUCT($B$4:$B$6,1-NORMSDIST((LN(SQRT(M40*N40))-LN($C$4:$C$6))/$B$9))</f>
        <v/>
      </c>
    </row>
    <row r="41">
      <c r="A41" s="9">
        <f>IF(C40&gt;0.5,SQRT(A40*B40),A40)</f>
        <v/>
      </c>
      <c r="B41" s="9">
        <f>IF(C40&gt;0.5,B40,SQRT(A40*B40))</f>
        <v/>
      </c>
      <c r="C41" s="42">
        <f>SUMPRODUCT($B$4:$B$6,1-NORMSDIST((LN(SQRT(A41*B41))-LN($C$4:$C$6))/$B$9))</f>
        <v/>
      </c>
      <c r="D41" s="9">
        <f>IF(F40&gt;0.9,SQRT(D40*E40),D40)</f>
        <v/>
      </c>
      <c r="E41" s="9">
        <f>IF(F40&gt;0.9,E40,SQRT(D40*E40))</f>
        <v/>
      </c>
      <c r="F41" s="42">
        <f>SUMPRODUCT($B$4:$B$6,1-NORMSDIST((LN(SQRT(D41*E41))-LN($C$4:$C$6))/$B$9))</f>
        <v/>
      </c>
      <c r="G41" s="9">
        <f>IF(I40&gt;0.75,SQRT(G40*H40),G40)</f>
        <v/>
      </c>
      <c r="H41" s="9">
        <f>IF(I40&gt;0.75,H40,SQRT(G40*H40))</f>
        <v/>
      </c>
      <c r="I41" s="42">
        <f>SUMPRODUCT($B$4:$B$6,1-NORMSDIST((LN(SQRT(G41*H41))-LN($C$4:$C$6))/$B$9))</f>
        <v/>
      </c>
      <c r="J41" s="9">
        <f>IF(L40&gt;0.25,SQRT(J40*K40),J40)</f>
        <v/>
      </c>
      <c r="K41" s="9">
        <f>IF(L40&gt;0.25,K40,SQRT(J40*K40))</f>
        <v/>
      </c>
      <c r="L41" s="42">
        <f>SUMPRODUCT($B$4:$B$6,1-NORMSDIST((LN(SQRT(J41*K41))-LN($C$4:$C$6))/$B$9))</f>
        <v/>
      </c>
      <c r="M41" s="9">
        <f>IF(O40&gt;0.09999999999999998,SQRT(M40*N40),M40)</f>
        <v/>
      </c>
      <c r="N41" s="9">
        <f>IF(O40&gt;0.09999999999999998,N40,SQRT(M40*N40))</f>
        <v/>
      </c>
      <c r="O41" s="42">
        <f>SUMPRODUCT($B$4:$B$6,1-NORMSDIST((LN(SQRT(M41*N41))-LN($C$4:$C$6))/$B$9))</f>
        <v/>
      </c>
    </row>
    <row r="42">
      <c r="A42" s="9">
        <f>IF(C41&gt;0.5,SQRT(A41*B41),A41)</f>
        <v/>
      </c>
      <c r="B42" s="9">
        <f>IF(C41&gt;0.5,B41,SQRT(A41*B41))</f>
        <v/>
      </c>
      <c r="C42" s="42">
        <f>SUMPRODUCT($B$4:$B$6,1-NORMSDIST((LN(SQRT(A42*B42))-LN($C$4:$C$6))/$B$9))</f>
        <v/>
      </c>
      <c r="D42" s="9">
        <f>IF(F41&gt;0.9,SQRT(D41*E41),D41)</f>
        <v/>
      </c>
      <c r="E42" s="9">
        <f>IF(F41&gt;0.9,E41,SQRT(D41*E41))</f>
        <v/>
      </c>
      <c r="F42" s="42">
        <f>SUMPRODUCT($B$4:$B$6,1-NORMSDIST((LN(SQRT(D42*E42))-LN($C$4:$C$6))/$B$9))</f>
        <v/>
      </c>
      <c r="G42" s="9">
        <f>IF(I41&gt;0.75,SQRT(G41*H41),G41)</f>
        <v/>
      </c>
      <c r="H42" s="9">
        <f>IF(I41&gt;0.75,H41,SQRT(G41*H41))</f>
        <v/>
      </c>
      <c r="I42" s="42">
        <f>SUMPRODUCT($B$4:$B$6,1-NORMSDIST((LN(SQRT(G42*H42))-LN($C$4:$C$6))/$B$9))</f>
        <v/>
      </c>
      <c r="J42" s="9">
        <f>IF(L41&gt;0.25,SQRT(J41*K41),J41)</f>
        <v/>
      </c>
      <c r="K42" s="9">
        <f>IF(L41&gt;0.25,K41,SQRT(J41*K41))</f>
        <v/>
      </c>
      <c r="L42" s="42">
        <f>SUMPRODUCT($B$4:$B$6,1-NORMSDIST((LN(SQRT(J42*K42))-LN($C$4:$C$6))/$B$9))</f>
        <v/>
      </c>
      <c r="M42" s="9">
        <f>IF(O41&gt;0.09999999999999998,SQRT(M41*N41),M41)</f>
        <v/>
      </c>
      <c r="N42" s="9">
        <f>IF(O41&gt;0.09999999999999998,N41,SQRT(M41*N41))</f>
        <v/>
      </c>
      <c r="O42" s="42">
        <f>SUMPRODUCT($B$4:$B$6,1-NORMSDIST((LN(SQRT(M42*N42))-LN($C$4:$C$6))/$B$9))</f>
        <v/>
      </c>
    </row>
    <row r="43">
      <c r="A43" s="9">
        <f>IF(C42&gt;0.5,SQRT(A42*B42),A42)</f>
        <v/>
      </c>
      <c r="B43" s="9">
        <f>IF(C42&gt;0.5,B42,SQRT(A42*B42))</f>
        <v/>
      </c>
      <c r="C43" s="42">
        <f>SUMPRODUCT($B$4:$B$6,1-NORMSDIST((LN(SQRT(A43*B43))-LN($C$4:$C$6))/$B$9))</f>
        <v/>
      </c>
      <c r="D43" s="9">
        <f>IF(F42&gt;0.9,SQRT(D42*E42),D42)</f>
        <v/>
      </c>
      <c r="E43" s="9">
        <f>IF(F42&gt;0.9,E42,SQRT(D42*E42))</f>
        <v/>
      </c>
      <c r="F43" s="42">
        <f>SUMPRODUCT($B$4:$B$6,1-NORMSDIST((LN(SQRT(D43*E43))-LN($C$4:$C$6))/$B$9))</f>
        <v/>
      </c>
      <c r="G43" s="9">
        <f>IF(I42&gt;0.75,SQRT(G42*H42),G42)</f>
        <v/>
      </c>
      <c r="H43" s="9">
        <f>IF(I42&gt;0.75,H42,SQRT(G42*H42))</f>
        <v/>
      </c>
      <c r="I43" s="42">
        <f>SUMPRODUCT($B$4:$B$6,1-NORMSDIST((LN(SQRT(G43*H43))-LN($C$4:$C$6))/$B$9))</f>
        <v/>
      </c>
      <c r="J43" s="9">
        <f>IF(L42&gt;0.25,SQRT(J42*K42),J42)</f>
        <v/>
      </c>
      <c r="K43" s="9">
        <f>IF(L42&gt;0.25,K42,SQRT(J42*K42))</f>
        <v/>
      </c>
      <c r="L43" s="42">
        <f>SUMPRODUCT($B$4:$B$6,1-NORMSDIST((LN(SQRT(J43*K43))-LN($C$4:$C$6))/$B$9))</f>
        <v/>
      </c>
      <c r="M43" s="9">
        <f>IF(O42&gt;0.09999999999999998,SQRT(M42*N42),M42)</f>
        <v/>
      </c>
      <c r="N43" s="9">
        <f>IF(O42&gt;0.09999999999999998,N42,SQRT(M42*N42))</f>
        <v/>
      </c>
      <c r="O43" s="42">
        <f>SUMPRODUCT($B$4:$B$6,1-NORMSDIST((LN(SQRT(M43*N43))-LN($C$4:$C$6))/$B$9))</f>
        <v/>
      </c>
    </row>
    <row r="44">
      <c r="A44" s="9">
        <f>IF(C43&gt;0.5,SQRT(A43*B43),A43)</f>
        <v/>
      </c>
      <c r="B44" s="9">
        <f>IF(C43&gt;0.5,B43,SQRT(A43*B43))</f>
        <v/>
      </c>
      <c r="C44" s="42">
        <f>SUMPRODUCT($B$4:$B$6,1-NORMSDIST((LN(SQRT(A44*B44))-LN($C$4:$C$6))/$B$9))</f>
        <v/>
      </c>
      <c r="D44" s="9">
        <f>IF(F43&gt;0.9,SQRT(D43*E43),D43)</f>
        <v/>
      </c>
      <c r="E44" s="9">
        <f>IF(F43&gt;0.9,E43,SQRT(D43*E43))</f>
        <v/>
      </c>
      <c r="F44" s="42">
        <f>SUMPRODUCT($B$4:$B$6,1-NORMSDIST((LN(SQRT(D44*E44))-LN($C$4:$C$6))/$B$9))</f>
        <v/>
      </c>
      <c r="G44" s="9">
        <f>IF(I43&gt;0.75,SQRT(G43*H43),G43)</f>
        <v/>
      </c>
      <c r="H44" s="9">
        <f>IF(I43&gt;0.75,H43,SQRT(G43*H43))</f>
        <v/>
      </c>
      <c r="I44" s="42">
        <f>SUMPRODUCT($B$4:$B$6,1-NORMSDIST((LN(SQRT(G44*H44))-LN($C$4:$C$6))/$B$9))</f>
        <v/>
      </c>
      <c r="J44" s="9">
        <f>IF(L43&gt;0.25,SQRT(J43*K43),J43)</f>
        <v/>
      </c>
      <c r="K44" s="9">
        <f>IF(L43&gt;0.25,K43,SQRT(J43*K43))</f>
        <v/>
      </c>
      <c r="L44" s="42">
        <f>SUMPRODUCT($B$4:$B$6,1-NORMSDIST((LN(SQRT(J44*K44))-LN($C$4:$C$6))/$B$9))</f>
        <v/>
      </c>
      <c r="M44" s="9">
        <f>IF(O43&gt;0.09999999999999998,SQRT(M43*N43),M43)</f>
        <v/>
      </c>
      <c r="N44" s="9">
        <f>IF(O43&gt;0.09999999999999998,N43,SQRT(M43*N43))</f>
        <v/>
      </c>
      <c r="O44" s="42">
        <f>SUMPRODUCT($B$4:$B$6,1-NORMSDIST((LN(SQRT(M44*N44))-LN($C$4:$C$6))/$B$9))</f>
        <v/>
      </c>
    </row>
    <row r="45">
      <c r="A45" s="9">
        <f>IF(C44&gt;0.5,SQRT(A44*B44),A44)</f>
        <v/>
      </c>
      <c r="B45" s="9">
        <f>IF(C44&gt;0.5,B44,SQRT(A44*B44))</f>
        <v/>
      </c>
      <c r="C45" s="42">
        <f>SUMPRODUCT($B$4:$B$6,1-NORMSDIST((LN(SQRT(A45*B45))-LN($C$4:$C$6))/$B$9))</f>
        <v/>
      </c>
      <c r="D45" s="9">
        <f>IF(F44&gt;0.9,SQRT(D44*E44),D44)</f>
        <v/>
      </c>
      <c r="E45" s="9">
        <f>IF(F44&gt;0.9,E44,SQRT(D44*E44))</f>
        <v/>
      </c>
      <c r="F45" s="42">
        <f>SUMPRODUCT($B$4:$B$6,1-NORMSDIST((LN(SQRT(D45*E45))-LN($C$4:$C$6))/$B$9))</f>
        <v/>
      </c>
      <c r="G45" s="9">
        <f>IF(I44&gt;0.75,SQRT(G44*H44),G44)</f>
        <v/>
      </c>
      <c r="H45" s="9">
        <f>IF(I44&gt;0.75,H44,SQRT(G44*H44))</f>
        <v/>
      </c>
      <c r="I45" s="42">
        <f>SUMPRODUCT($B$4:$B$6,1-NORMSDIST((LN(SQRT(G45*H45))-LN($C$4:$C$6))/$B$9))</f>
        <v/>
      </c>
      <c r="J45" s="9">
        <f>IF(L44&gt;0.25,SQRT(J44*K44),J44)</f>
        <v/>
      </c>
      <c r="K45" s="9">
        <f>IF(L44&gt;0.25,K44,SQRT(J44*K44))</f>
        <v/>
      </c>
      <c r="L45" s="42">
        <f>SUMPRODUCT($B$4:$B$6,1-NORMSDIST((LN(SQRT(J45*K45))-LN($C$4:$C$6))/$B$9))</f>
        <v/>
      </c>
      <c r="M45" s="9">
        <f>IF(O44&gt;0.09999999999999998,SQRT(M44*N44),M44)</f>
        <v/>
      </c>
      <c r="N45" s="9">
        <f>IF(O44&gt;0.09999999999999998,N44,SQRT(M44*N44))</f>
        <v/>
      </c>
      <c r="O45" s="42">
        <f>SUMPRODUCT($B$4:$B$6,1-NORMSDIST((LN(SQRT(M45*N45))-LN($C$4:$C$6))/$B$9))</f>
        <v/>
      </c>
    </row>
    <row r="46">
      <c r="A46" s="9">
        <f>IF(C45&gt;0.5,SQRT(A45*B45),A45)</f>
        <v/>
      </c>
      <c r="B46" s="9">
        <f>IF(C45&gt;0.5,B45,SQRT(A45*B45))</f>
        <v/>
      </c>
      <c r="C46" s="42">
        <f>SUMPRODUCT($B$4:$B$6,1-NORMSDIST((LN(SQRT(A46*B46))-LN($C$4:$C$6))/$B$9))</f>
        <v/>
      </c>
      <c r="D46" s="9">
        <f>IF(F45&gt;0.9,SQRT(D45*E45),D45)</f>
        <v/>
      </c>
      <c r="E46" s="9">
        <f>IF(F45&gt;0.9,E45,SQRT(D45*E45))</f>
        <v/>
      </c>
      <c r="F46" s="42">
        <f>SUMPRODUCT($B$4:$B$6,1-NORMSDIST((LN(SQRT(D46*E46))-LN($C$4:$C$6))/$B$9))</f>
        <v/>
      </c>
      <c r="G46" s="9">
        <f>IF(I45&gt;0.75,SQRT(G45*H45),G45)</f>
        <v/>
      </c>
      <c r="H46" s="9">
        <f>IF(I45&gt;0.75,H45,SQRT(G45*H45))</f>
        <v/>
      </c>
      <c r="I46" s="42">
        <f>SUMPRODUCT($B$4:$B$6,1-NORMSDIST((LN(SQRT(G46*H46))-LN($C$4:$C$6))/$B$9))</f>
        <v/>
      </c>
      <c r="J46" s="9">
        <f>IF(L45&gt;0.25,SQRT(J45*K45),J45)</f>
        <v/>
      </c>
      <c r="K46" s="9">
        <f>IF(L45&gt;0.25,K45,SQRT(J45*K45))</f>
        <v/>
      </c>
      <c r="L46" s="42">
        <f>SUMPRODUCT($B$4:$B$6,1-NORMSDIST((LN(SQRT(J46*K46))-LN($C$4:$C$6))/$B$9))</f>
        <v/>
      </c>
      <c r="M46" s="9">
        <f>IF(O45&gt;0.09999999999999998,SQRT(M45*N45),M45)</f>
        <v/>
      </c>
      <c r="N46" s="9">
        <f>IF(O45&gt;0.09999999999999998,N45,SQRT(M45*N45))</f>
        <v/>
      </c>
      <c r="O46" s="42">
        <f>SUMPRODUCT($B$4:$B$6,1-NORMSDIST((LN(SQRT(M46*N46))-LN($C$4:$C$6))/$B$9))</f>
        <v/>
      </c>
    </row>
    <row r="47">
      <c r="A47" s="9">
        <f>IF(C46&gt;0.5,SQRT(A46*B46),A46)</f>
        <v/>
      </c>
      <c r="B47" s="9">
        <f>IF(C46&gt;0.5,B46,SQRT(A46*B46))</f>
        <v/>
      </c>
      <c r="C47" s="42">
        <f>SUMPRODUCT($B$4:$B$6,1-NORMSDIST((LN(SQRT(A47*B47))-LN($C$4:$C$6))/$B$9))</f>
        <v/>
      </c>
      <c r="D47" s="9">
        <f>IF(F46&gt;0.9,SQRT(D46*E46),D46)</f>
        <v/>
      </c>
      <c r="E47" s="9">
        <f>IF(F46&gt;0.9,E46,SQRT(D46*E46))</f>
        <v/>
      </c>
      <c r="F47" s="42">
        <f>SUMPRODUCT($B$4:$B$6,1-NORMSDIST((LN(SQRT(D47*E47))-LN($C$4:$C$6))/$B$9))</f>
        <v/>
      </c>
      <c r="G47" s="9">
        <f>IF(I46&gt;0.75,SQRT(G46*H46),G46)</f>
        <v/>
      </c>
      <c r="H47" s="9">
        <f>IF(I46&gt;0.75,H46,SQRT(G46*H46))</f>
        <v/>
      </c>
      <c r="I47" s="42">
        <f>SUMPRODUCT($B$4:$B$6,1-NORMSDIST((LN(SQRT(G47*H47))-LN($C$4:$C$6))/$B$9))</f>
        <v/>
      </c>
      <c r="J47" s="9">
        <f>IF(L46&gt;0.25,SQRT(J46*K46),J46)</f>
        <v/>
      </c>
      <c r="K47" s="9">
        <f>IF(L46&gt;0.25,K46,SQRT(J46*K46))</f>
        <v/>
      </c>
      <c r="L47" s="42">
        <f>SUMPRODUCT($B$4:$B$6,1-NORMSDIST((LN(SQRT(J47*K47))-LN($C$4:$C$6))/$B$9))</f>
        <v/>
      </c>
      <c r="M47" s="9">
        <f>IF(O46&gt;0.09999999999999998,SQRT(M46*N46),M46)</f>
        <v/>
      </c>
      <c r="N47" s="9">
        <f>IF(O46&gt;0.09999999999999998,N46,SQRT(M46*N46))</f>
        <v/>
      </c>
      <c r="O47" s="42">
        <f>SUMPRODUCT($B$4:$B$6,1-NORMSDIST((LN(SQRT(M47*N47))-LN($C$4:$C$6))/$B$9))</f>
        <v/>
      </c>
    </row>
    <row r="48">
      <c r="A48" s="9">
        <f>IF(C47&gt;0.5,SQRT(A47*B47),A47)</f>
        <v/>
      </c>
      <c r="B48" s="9">
        <f>IF(C47&gt;0.5,B47,SQRT(A47*B47))</f>
        <v/>
      </c>
      <c r="C48" s="42">
        <f>SUMPRODUCT($B$4:$B$6,1-NORMSDIST((LN(SQRT(A48*B48))-LN($C$4:$C$6))/$B$9))</f>
        <v/>
      </c>
      <c r="D48" s="9">
        <f>IF(F47&gt;0.9,SQRT(D47*E47),D47)</f>
        <v/>
      </c>
      <c r="E48" s="9">
        <f>IF(F47&gt;0.9,E47,SQRT(D47*E47))</f>
        <v/>
      </c>
      <c r="F48" s="42">
        <f>SUMPRODUCT($B$4:$B$6,1-NORMSDIST((LN(SQRT(D48*E48))-LN($C$4:$C$6))/$B$9))</f>
        <v/>
      </c>
      <c r="G48" s="9">
        <f>IF(I47&gt;0.75,SQRT(G47*H47),G47)</f>
        <v/>
      </c>
      <c r="H48" s="9">
        <f>IF(I47&gt;0.75,H47,SQRT(G47*H47))</f>
        <v/>
      </c>
      <c r="I48" s="42">
        <f>SUMPRODUCT($B$4:$B$6,1-NORMSDIST((LN(SQRT(G48*H48))-LN($C$4:$C$6))/$B$9))</f>
        <v/>
      </c>
      <c r="J48" s="9">
        <f>IF(L47&gt;0.25,SQRT(J47*K47),J47)</f>
        <v/>
      </c>
      <c r="K48" s="9">
        <f>IF(L47&gt;0.25,K47,SQRT(J47*K47))</f>
        <v/>
      </c>
      <c r="L48" s="42">
        <f>SUMPRODUCT($B$4:$B$6,1-NORMSDIST((LN(SQRT(J48*K48))-LN($C$4:$C$6))/$B$9))</f>
        <v/>
      </c>
      <c r="M48" s="9">
        <f>IF(O47&gt;0.09999999999999998,SQRT(M47*N47),M47)</f>
        <v/>
      </c>
      <c r="N48" s="9">
        <f>IF(O47&gt;0.09999999999999998,N47,SQRT(M47*N47))</f>
        <v/>
      </c>
      <c r="O48" s="42">
        <f>SUMPRODUCT($B$4:$B$6,1-NORMSDIST((LN(SQRT(M48*N48))-LN($C$4:$C$6))/$B$9))</f>
        <v/>
      </c>
    </row>
    <row r="49">
      <c r="A49" s="9">
        <f>IF(C48&gt;0.5,SQRT(A48*B48),A48)</f>
        <v/>
      </c>
      <c r="B49" s="9">
        <f>IF(C48&gt;0.5,B48,SQRT(A48*B48))</f>
        <v/>
      </c>
      <c r="C49" s="42">
        <f>SUMPRODUCT($B$4:$B$6,1-NORMSDIST((LN(SQRT(A49*B49))-LN($C$4:$C$6))/$B$9))</f>
        <v/>
      </c>
      <c r="D49" s="9">
        <f>IF(F48&gt;0.9,SQRT(D48*E48),D48)</f>
        <v/>
      </c>
      <c r="E49" s="9">
        <f>IF(F48&gt;0.9,E48,SQRT(D48*E48))</f>
        <v/>
      </c>
      <c r="F49" s="42">
        <f>SUMPRODUCT($B$4:$B$6,1-NORMSDIST((LN(SQRT(D49*E49))-LN($C$4:$C$6))/$B$9))</f>
        <v/>
      </c>
      <c r="G49" s="9">
        <f>IF(I48&gt;0.75,SQRT(G48*H48),G48)</f>
        <v/>
      </c>
      <c r="H49" s="9">
        <f>IF(I48&gt;0.75,H48,SQRT(G48*H48))</f>
        <v/>
      </c>
      <c r="I49" s="42">
        <f>SUMPRODUCT($B$4:$B$6,1-NORMSDIST((LN(SQRT(G49*H49))-LN($C$4:$C$6))/$B$9))</f>
        <v/>
      </c>
      <c r="J49" s="9">
        <f>IF(L48&gt;0.25,SQRT(J48*K48),J48)</f>
        <v/>
      </c>
      <c r="K49" s="9">
        <f>IF(L48&gt;0.25,K48,SQRT(J48*K48))</f>
        <v/>
      </c>
      <c r="L49" s="42">
        <f>SUMPRODUCT($B$4:$B$6,1-NORMSDIST((LN(SQRT(J49*K49))-LN($C$4:$C$6))/$B$9))</f>
        <v/>
      </c>
      <c r="M49" s="9">
        <f>IF(O48&gt;0.09999999999999998,SQRT(M48*N48),M48)</f>
        <v/>
      </c>
      <c r="N49" s="9">
        <f>IF(O48&gt;0.09999999999999998,N48,SQRT(M48*N48))</f>
        <v/>
      </c>
      <c r="O49" s="42">
        <f>SUMPRODUCT($B$4:$B$6,1-NORMSDIST((LN(SQRT(M49*N49))-LN($C$4:$C$6))/$B$9))</f>
        <v/>
      </c>
    </row>
    <row r="50">
      <c r="A50" s="9">
        <f>IF(C49&gt;0.5,SQRT(A49*B49),A49)</f>
        <v/>
      </c>
      <c r="B50" s="9">
        <f>IF(C49&gt;0.5,B49,SQRT(A49*B49))</f>
        <v/>
      </c>
      <c r="C50" s="42">
        <f>SUMPRODUCT($B$4:$B$6,1-NORMSDIST((LN(SQRT(A50*B50))-LN($C$4:$C$6))/$B$9))</f>
        <v/>
      </c>
      <c r="D50" s="9">
        <f>IF(F49&gt;0.9,SQRT(D49*E49),D49)</f>
        <v/>
      </c>
      <c r="E50" s="9">
        <f>IF(F49&gt;0.9,E49,SQRT(D49*E49))</f>
        <v/>
      </c>
      <c r="F50" s="42">
        <f>SUMPRODUCT($B$4:$B$6,1-NORMSDIST((LN(SQRT(D50*E50))-LN($C$4:$C$6))/$B$9))</f>
        <v/>
      </c>
      <c r="G50" s="9">
        <f>IF(I49&gt;0.75,SQRT(G49*H49),G49)</f>
        <v/>
      </c>
      <c r="H50" s="9">
        <f>IF(I49&gt;0.75,H49,SQRT(G49*H49))</f>
        <v/>
      </c>
      <c r="I50" s="42">
        <f>SUMPRODUCT($B$4:$B$6,1-NORMSDIST((LN(SQRT(G50*H50))-LN($C$4:$C$6))/$B$9))</f>
        <v/>
      </c>
      <c r="J50" s="9">
        <f>IF(L49&gt;0.25,SQRT(J49*K49),J49)</f>
        <v/>
      </c>
      <c r="K50" s="9">
        <f>IF(L49&gt;0.25,K49,SQRT(J49*K49))</f>
        <v/>
      </c>
      <c r="L50" s="42">
        <f>SUMPRODUCT($B$4:$B$6,1-NORMSDIST((LN(SQRT(J50*K50))-LN($C$4:$C$6))/$B$9))</f>
        <v/>
      </c>
      <c r="M50" s="9">
        <f>IF(O49&gt;0.09999999999999998,SQRT(M49*N49),M49)</f>
        <v/>
      </c>
      <c r="N50" s="9">
        <f>IF(O49&gt;0.09999999999999998,N49,SQRT(M49*N49))</f>
        <v/>
      </c>
      <c r="O50" s="42">
        <f>SUMPRODUCT($B$4:$B$6,1-NORMSDIST((LN(SQRT(M50*N50))-LN($C$4:$C$6))/$B$9))</f>
        <v/>
      </c>
    </row>
    <row r="51">
      <c r="A51" s="9">
        <f>IF(C50&gt;0.5,SQRT(A50*B50),A50)</f>
        <v/>
      </c>
      <c r="B51" s="9">
        <f>IF(C50&gt;0.5,B50,SQRT(A50*B50))</f>
        <v/>
      </c>
      <c r="C51" s="42">
        <f>SUMPRODUCT($B$4:$B$6,1-NORMSDIST((LN(SQRT(A51*B51))-LN($C$4:$C$6))/$B$9))</f>
        <v/>
      </c>
      <c r="D51" s="9">
        <f>IF(F50&gt;0.9,SQRT(D50*E50),D50)</f>
        <v/>
      </c>
      <c r="E51" s="9">
        <f>IF(F50&gt;0.9,E50,SQRT(D50*E50))</f>
        <v/>
      </c>
      <c r="F51" s="42">
        <f>SUMPRODUCT($B$4:$B$6,1-NORMSDIST((LN(SQRT(D51*E51))-LN($C$4:$C$6))/$B$9))</f>
        <v/>
      </c>
      <c r="G51" s="9">
        <f>IF(I50&gt;0.75,SQRT(G50*H50),G50)</f>
        <v/>
      </c>
      <c r="H51" s="9">
        <f>IF(I50&gt;0.75,H50,SQRT(G50*H50))</f>
        <v/>
      </c>
      <c r="I51" s="42">
        <f>SUMPRODUCT($B$4:$B$6,1-NORMSDIST((LN(SQRT(G51*H51))-LN($C$4:$C$6))/$B$9))</f>
        <v/>
      </c>
      <c r="J51" s="9">
        <f>IF(L50&gt;0.25,SQRT(J50*K50),J50)</f>
        <v/>
      </c>
      <c r="K51" s="9">
        <f>IF(L50&gt;0.25,K50,SQRT(J50*K50))</f>
        <v/>
      </c>
      <c r="L51" s="42">
        <f>SUMPRODUCT($B$4:$B$6,1-NORMSDIST((LN(SQRT(J51*K51))-LN($C$4:$C$6))/$B$9))</f>
        <v/>
      </c>
      <c r="M51" s="9">
        <f>IF(O50&gt;0.09999999999999998,SQRT(M50*N50),M50)</f>
        <v/>
      </c>
      <c r="N51" s="9">
        <f>IF(O50&gt;0.09999999999999998,N50,SQRT(M50*N50))</f>
        <v/>
      </c>
      <c r="O51" s="42">
        <f>SUMPRODUCT($B$4:$B$6,1-NORMSDIST((LN(SQRT(M51*N51))-LN($C$4:$C$6))/$B$9))</f>
        <v/>
      </c>
    </row>
    <row r="52">
      <c r="A52" s="9">
        <f>IF(C51&gt;0.5,SQRT(A51*B51),A51)</f>
        <v/>
      </c>
      <c r="B52" s="9">
        <f>IF(C51&gt;0.5,B51,SQRT(A51*B51))</f>
        <v/>
      </c>
      <c r="C52" s="42">
        <f>SUMPRODUCT($B$4:$B$6,1-NORMSDIST((LN(SQRT(A52*B52))-LN($C$4:$C$6))/$B$9))</f>
        <v/>
      </c>
      <c r="D52" s="9">
        <f>IF(F51&gt;0.9,SQRT(D51*E51),D51)</f>
        <v/>
      </c>
      <c r="E52" s="9">
        <f>IF(F51&gt;0.9,E51,SQRT(D51*E51))</f>
        <v/>
      </c>
      <c r="F52" s="42">
        <f>SUMPRODUCT($B$4:$B$6,1-NORMSDIST((LN(SQRT(D52*E52))-LN($C$4:$C$6))/$B$9))</f>
        <v/>
      </c>
      <c r="G52" s="9">
        <f>IF(I51&gt;0.75,SQRT(G51*H51),G51)</f>
        <v/>
      </c>
      <c r="H52" s="9">
        <f>IF(I51&gt;0.75,H51,SQRT(G51*H51))</f>
        <v/>
      </c>
      <c r="I52" s="42">
        <f>SUMPRODUCT($B$4:$B$6,1-NORMSDIST((LN(SQRT(G52*H52))-LN($C$4:$C$6))/$B$9))</f>
        <v/>
      </c>
      <c r="J52" s="9">
        <f>IF(L51&gt;0.25,SQRT(J51*K51),J51)</f>
        <v/>
      </c>
      <c r="K52" s="9">
        <f>IF(L51&gt;0.25,K51,SQRT(J51*K51))</f>
        <v/>
      </c>
      <c r="L52" s="42">
        <f>SUMPRODUCT($B$4:$B$6,1-NORMSDIST((LN(SQRT(J52*K52))-LN($C$4:$C$6))/$B$9))</f>
        <v/>
      </c>
      <c r="M52" s="9">
        <f>IF(O51&gt;0.09999999999999998,SQRT(M51*N51),M51)</f>
        <v/>
      </c>
      <c r="N52" s="9">
        <f>IF(O51&gt;0.09999999999999998,N51,SQRT(M51*N51))</f>
        <v/>
      </c>
      <c r="O52" s="42">
        <f>SUMPRODUCT($B$4:$B$6,1-NORMSDIST((LN(SQRT(M52*N52))-LN($C$4:$C$6))/$B$9))</f>
        <v/>
      </c>
    </row>
    <row r="53">
      <c r="A53" s="9">
        <f>IF(C52&gt;0.5,SQRT(A52*B52),A52)</f>
        <v/>
      </c>
      <c r="B53" s="9">
        <f>IF(C52&gt;0.5,B52,SQRT(A52*B52))</f>
        <v/>
      </c>
      <c r="C53" s="42">
        <f>SUMPRODUCT($B$4:$B$6,1-NORMSDIST((LN(SQRT(A53*B53))-LN($C$4:$C$6))/$B$9))</f>
        <v/>
      </c>
      <c r="D53" s="9">
        <f>IF(F52&gt;0.9,SQRT(D52*E52),D52)</f>
        <v/>
      </c>
      <c r="E53" s="9">
        <f>IF(F52&gt;0.9,E52,SQRT(D52*E52))</f>
        <v/>
      </c>
      <c r="F53" s="42">
        <f>SUMPRODUCT($B$4:$B$6,1-NORMSDIST((LN(SQRT(D53*E53))-LN($C$4:$C$6))/$B$9))</f>
        <v/>
      </c>
      <c r="G53" s="9">
        <f>IF(I52&gt;0.75,SQRT(G52*H52),G52)</f>
        <v/>
      </c>
      <c r="H53" s="9">
        <f>IF(I52&gt;0.75,H52,SQRT(G52*H52))</f>
        <v/>
      </c>
      <c r="I53" s="42">
        <f>SUMPRODUCT($B$4:$B$6,1-NORMSDIST((LN(SQRT(G53*H53))-LN($C$4:$C$6))/$B$9))</f>
        <v/>
      </c>
      <c r="J53" s="9">
        <f>IF(L52&gt;0.25,SQRT(J52*K52),J52)</f>
        <v/>
      </c>
      <c r="K53" s="9">
        <f>IF(L52&gt;0.25,K52,SQRT(J52*K52))</f>
        <v/>
      </c>
      <c r="L53" s="42">
        <f>SUMPRODUCT($B$4:$B$6,1-NORMSDIST((LN(SQRT(J53*K53))-LN($C$4:$C$6))/$B$9))</f>
        <v/>
      </c>
      <c r="M53" s="9">
        <f>IF(O52&gt;0.09999999999999998,SQRT(M52*N52),M52)</f>
        <v/>
      </c>
      <c r="N53" s="9">
        <f>IF(O52&gt;0.09999999999999998,N52,SQRT(M52*N52))</f>
        <v/>
      </c>
      <c r="O53" s="42">
        <f>SUMPRODUCT($B$4:$B$6,1-NORMSDIST((LN(SQRT(M53*N53))-LN($C$4:$C$6))/$B$9))</f>
        <v/>
      </c>
    </row>
    <row r="54">
      <c r="A54" s="9">
        <f>IF(C53&gt;0.5,SQRT(A53*B53),A53)</f>
        <v/>
      </c>
      <c r="B54" s="9">
        <f>IF(C53&gt;0.5,B53,SQRT(A53*B53))</f>
        <v/>
      </c>
      <c r="C54" s="42">
        <f>SUMPRODUCT($B$4:$B$6,1-NORMSDIST((LN(SQRT(A54*B54))-LN($C$4:$C$6))/$B$9))</f>
        <v/>
      </c>
      <c r="D54" s="9">
        <f>IF(F53&gt;0.9,SQRT(D53*E53),D53)</f>
        <v/>
      </c>
      <c r="E54" s="9">
        <f>IF(F53&gt;0.9,E53,SQRT(D53*E53))</f>
        <v/>
      </c>
      <c r="F54" s="42">
        <f>SUMPRODUCT($B$4:$B$6,1-NORMSDIST((LN(SQRT(D54*E54))-LN($C$4:$C$6))/$B$9))</f>
        <v/>
      </c>
      <c r="G54" s="9">
        <f>IF(I53&gt;0.75,SQRT(G53*H53),G53)</f>
        <v/>
      </c>
      <c r="H54" s="9">
        <f>IF(I53&gt;0.75,H53,SQRT(G53*H53))</f>
        <v/>
      </c>
      <c r="I54" s="42">
        <f>SUMPRODUCT($B$4:$B$6,1-NORMSDIST((LN(SQRT(G54*H54))-LN($C$4:$C$6))/$B$9))</f>
        <v/>
      </c>
      <c r="J54" s="9">
        <f>IF(L53&gt;0.25,SQRT(J53*K53),J53)</f>
        <v/>
      </c>
      <c r="K54" s="9">
        <f>IF(L53&gt;0.25,K53,SQRT(J53*K53))</f>
        <v/>
      </c>
      <c r="L54" s="42">
        <f>SUMPRODUCT($B$4:$B$6,1-NORMSDIST((LN(SQRT(J54*K54))-LN($C$4:$C$6))/$B$9))</f>
        <v/>
      </c>
      <c r="M54" s="9">
        <f>IF(O53&gt;0.09999999999999998,SQRT(M53*N53),M53)</f>
        <v/>
      </c>
      <c r="N54" s="9">
        <f>IF(O53&gt;0.09999999999999998,N53,SQRT(M53*N53))</f>
        <v/>
      </c>
      <c r="O54" s="42">
        <f>SUMPRODUCT($B$4:$B$6,1-NORMSDIST((LN(SQRT(M54*N54))-LN($C$4:$C$6))/$B$9))</f>
        <v/>
      </c>
    </row>
    <row r="55">
      <c r="A55" s="9">
        <f>IF(C54&gt;0.5,SQRT(A54*B54),A54)</f>
        <v/>
      </c>
      <c r="B55" s="9">
        <f>IF(C54&gt;0.5,B54,SQRT(A54*B54))</f>
        <v/>
      </c>
      <c r="C55" s="42">
        <f>SUMPRODUCT($B$4:$B$6,1-NORMSDIST((LN(SQRT(A55*B55))-LN($C$4:$C$6))/$B$9))</f>
        <v/>
      </c>
      <c r="D55" s="9">
        <f>IF(F54&gt;0.9,SQRT(D54*E54),D54)</f>
        <v/>
      </c>
      <c r="E55" s="9">
        <f>IF(F54&gt;0.9,E54,SQRT(D54*E54))</f>
        <v/>
      </c>
      <c r="F55" s="42">
        <f>SUMPRODUCT($B$4:$B$6,1-NORMSDIST((LN(SQRT(D55*E55))-LN($C$4:$C$6))/$B$9))</f>
        <v/>
      </c>
      <c r="G55" s="9">
        <f>IF(I54&gt;0.75,SQRT(G54*H54),G54)</f>
        <v/>
      </c>
      <c r="H55" s="9">
        <f>IF(I54&gt;0.75,H54,SQRT(G54*H54))</f>
        <v/>
      </c>
      <c r="I55" s="42">
        <f>SUMPRODUCT($B$4:$B$6,1-NORMSDIST((LN(SQRT(G55*H55))-LN($C$4:$C$6))/$B$9))</f>
        <v/>
      </c>
      <c r="J55" s="9">
        <f>IF(L54&gt;0.25,SQRT(J54*K54),J54)</f>
        <v/>
      </c>
      <c r="K55" s="9">
        <f>IF(L54&gt;0.25,K54,SQRT(J54*K54))</f>
        <v/>
      </c>
      <c r="L55" s="42">
        <f>SUMPRODUCT($B$4:$B$6,1-NORMSDIST((LN(SQRT(J55*K55))-LN($C$4:$C$6))/$B$9))</f>
        <v/>
      </c>
      <c r="M55" s="9">
        <f>IF(O54&gt;0.09999999999999998,SQRT(M54*N54),M54)</f>
        <v/>
      </c>
      <c r="N55" s="9">
        <f>IF(O54&gt;0.09999999999999998,N54,SQRT(M54*N54))</f>
        <v/>
      </c>
      <c r="O55" s="42">
        <f>SUMPRODUCT($B$4:$B$6,1-NORMSDIST((LN(SQRT(M55*N55))-LN($C$4:$C$6))/$B$9))</f>
        <v/>
      </c>
    </row>
    <row r="56">
      <c r="A56" s="9">
        <f>IF(C55&gt;0.5,SQRT(A55*B55),A55)</f>
        <v/>
      </c>
      <c r="B56" s="9">
        <f>IF(C55&gt;0.5,B55,SQRT(A55*B55))</f>
        <v/>
      </c>
      <c r="C56" s="42">
        <f>SUMPRODUCT($B$4:$B$6,1-NORMSDIST((LN(SQRT(A56*B56))-LN($C$4:$C$6))/$B$9))</f>
        <v/>
      </c>
      <c r="D56" s="9">
        <f>IF(F55&gt;0.9,SQRT(D55*E55),D55)</f>
        <v/>
      </c>
      <c r="E56" s="9">
        <f>IF(F55&gt;0.9,E55,SQRT(D55*E55))</f>
        <v/>
      </c>
      <c r="F56" s="42">
        <f>SUMPRODUCT($B$4:$B$6,1-NORMSDIST((LN(SQRT(D56*E56))-LN($C$4:$C$6))/$B$9))</f>
        <v/>
      </c>
      <c r="G56" s="9">
        <f>IF(I55&gt;0.75,SQRT(G55*H55),G55)</f>
        <v/>
      </c>
      <c r="H56" s="9">
        <f>IF(I55&gt;0.75,H55,SQRT(G55*H55))</f>
        <v/>
      </c>
      <c r="I56" s="42">
        <f>SUMPRODUCT($B$4:$B$6,1-NORMSDIST((LN(SQRT(G56*H56))-LN($C$4:$C$6))/$B$9))</f>
        <v/>
      </c>
      <c r="J56" s="9">
        <f>IF(L55&gt;0.25,SQRT(J55*K55),J55)</f>
        <v/>
      </c>
      <c r="K56" s="9">
        <f>IF(L55&gt;0.25,K55,SQRT(J55*K55))</f>
        <v/>
      </c>
      <c r="L56" s="42">
        <f>SUMPRODUCT($B$4:$B$6,1-NORMSDIST((LN(SQRT(J56*K56))-LN($C$4:$C$6))/$B$9))</f>
        <v/>
      </c>
      <c r="M56" s="9">
        <f>IF(O55&gt;0.09999999999999998,SQRT(M55*N55),M55)</f>
        <v/>
      </c>
      <c r="N56" s="9">
        <f>IF(O55&gt;0.09999999999999998,N55,SQRT(M55*N55))</f>
        <v/>
      </c>
      <c r="O56" s="42">
        <f>SUMPRODUCT($B$4:$B$6,1-NORMSDIST((LN(SQRT(M56*N56))-LN($C$4:$C$6))/$B$9))</f>
        <v/>
      </c>
    </row>
    <row r="57">
      <c r="A57" s="9">
        <f>IF(C56&gt;0.5,SQRT(A56*B56),A56)</f>
        <v/>
      </c>
      <c r="B57" s="9">
        <f>IF(C56&gt;0.5,B56,SQRT(A56*B56))</f>
        <v/>
      </c>
      <c r="C57" s="42">
        <f>SUMPRODUCT($B$4:$B$6,1-NORMSDIST((LN(SQRT(A57*B57))-LN($C$4:$C$6))/$B$9))</f>
        <v/>
      </c>
      <c r="D57" s="9">
        <f>IF(F56&gt;0.9,SQRT(D56*E56),D56)</f>
        <v/>
      </c>
      <c r="E57" s="9">
        <f>IF(F56&gt;0.9,E56,SQRT(D56*E56))</f>
        <v/>
      </c>
      <c r="F57" s="42">
        <f>SUMPRODUCT($B$4:$B$6,1-NORMSDIST((LN(SQRT(D57*E57))-LN($C$4:$C$6))/$B$9))</f>
        <v/>
      </c>
      <c r="G57" s="9">
        <f>IF(I56&gt;0.75,SQRT(G56*H56),G56)</f>
        <v/>
      </c>
      <c r="H57" s="9">
        <f>IF(I56&gt;0.75,H56,SQRT(G56*H56))</f>
        <v/>
      </c>
      <c r="I57" s="42">
        <f>SUMPRODUCT($B$4:$B$6,1-NORMSDIST((LN(SQRT(G57*H57))-LN($C$4:$C$6))/$B$9))</f>
        <v/>
      </c>
      <c r="J57" s="9">
        <f>IF(L56&gt;0.25,SQRT(J56*K56),J56)</f>
        <v/>
      </c>
      <c r="K57" s="9">
        <f>IF(L56&gt;0.25,K56,SQRT(J56*K56))</f>
        <v/>
      </c>
      <c r="L57" s="42">
        <f>SUMPRODUCT($B$4:$B$6,1-NORMSDIST((LN(SQRT(J57*K57))-LN($C$4:$C$6))/$B$9))</f>
        <v/>
      </c>
      <c r="M57" s="9">
        <f>IF(O56&gt;0.09999999999999998,SQRT(M56*N56),M56)</f>
        <v/>
      </c>
      <c r="N57" s="9">
        <f>IF(O56&gt;0.09999999999999998,N56,SQRT(M56*N56))</f>
        <v/>
      </c>
      <c r="O57" s="42">
        <f>SUMPRODUCT($B$4:$B$6,1-NORMSDIST((LN(SQRT(M57*N57))-LN($C$4:$C$6))/$B$9))</f>
        <v/>
      </c>
    </row>
    <row r="58">
      <c r="A58" s="9">
        <f>IF(C57&gt;0.5,SQRT(A57*B57),A57)</f>
        <v/>
      </c>
      <c r="B58" s="9">
        <f>IF(C57&gt;0.5,B57,SQRT(A57*B57))</f>
        <v/>
      </c>
      <c r="C58" s="42">
        <f>SUMPRODUCT($B$4:$B$6,1-NORMSDIST((LN(SQRT(A58*B58))-LN($C$4:$C$6))/$B$9))</f>
        <v/>
      </c>
      <c r="D58" s="9">
        <f>IF(F57&gt;0.9,SQRT(D57*E57),D57)</f>
        <v/>
      </c>
      <c r="E58" s="9">
        <f>IF(F57&gt;0.9,E57,SQRT(D57*E57))</f>
        <v/>
      </c>
      <c r="F58" s="42">
        <f>SUMPRODUCT($B$4:$B$6,1-NORMSDIST((LN(SQRT(D58*E58))-LN($C$4:$C$6))/$B$9))</f>
        <v/>
      </c>
      <c r="G58" s="9">
        <f>IF(I57&gt;0.75,SQRT(G57*H57),G57)</f>
        <v/>
      </c>
      <c r="H58" s="9">
        <f>IF(I57&gt;0.75,H57,SQRT(G57*H57))</f>
        <v/>
      </c>
      <c r="I58" s="42">
        <f>SUMPRODUCT($B$4:$B$6,1-NORMSDIST((LN(SQRT(G58*H58))-LN($C$4:$C$6))/$B$9))</f>
        <v/>
      </c>
      <c r="J58" s="9">
        <f>IF(L57&gt;0.25,SQRT(J57*K57),J57)</f>
        <v/>
      </c>
      <c r="K58" s="9">
        <f>IF(L57&gt;0.25,K57,SQRT(J57*K57))</f>
        <v/>
      </c>
      <c r="L58" s="42">
        <f>SUMPRODUCT($B$4:$B$6,1-NORMSDIST((LN(SQRT(J58*K58))-LN($C$4:$C$6))/$B$9))</f>
        <v/>
      </c>
      <c r="M58" s="9">
        <f>IF(O57&gt;0.09999999999999998,SQRT(M57*N57),M57)</f>
        <v/>
      </c>
      <c r="N58" s="9">
        <f>IF(O57&gt;0.09999999999999998,N57,SQRT(M57*N57))</f>
        <v/>
      </c>
      <c r="O58" s="42">
        <f>SUMPRODUCT($B$4:$B$6,1-NORMSDIST((LN(SQRT(M58*N58))-LN($C$4:$C$6))/$B$9))</f>
        <v/>
      </c>
    </row>
    <row r="59">
      <c r="A59" s="9">
        <f>IF(C58&gt;0.5,SQRT(A58*B58),A58)</f>
        <v/>
      </c>
      <c r="B59" s="9">
        <f>IF(C58&gt;0.5,B58,SQRT(A58*B58))</f>
        <v/>
      </c>
      <c r="C59" s="42">
        <f>SUMPRODUCT($B$4:$B$6,1-NORMSDIST((LN(SQRT(A59*B59))-LN($C$4:$C$6))/$B$9))</f>
        <v/>
      </c>
      <c r="D59" s="9">
        <f>IF(F58&gt;0.9,SQRT(D58*E58),D58)</f>
        <v/>
      </c>
      <c r="E59" s="9">
        <f>IF(F58&gt;0.9,E58,SQRT(D58*E58))</f>
        <v/>
      </c>
      <c r="F59" s="42">
        <f>SUMPRODUCT($B$4:$B$6,1-NORMSDIST((LN(SQRT(D59*E59))-LN($C$4:$C$6))/$B$9))</f>
        <v/>
      </c>
      <c r="G59" s="9">
        <f>IF(I58&gt;0.75,SQRT(G58*H58),G58)</f>
        <v/>
      </c>
      <c r="H59" s="9">
        <f>IF(I58&gt;0.75,H58,SQRT(G58*H58))</f>
        <v/>
      </c>
      <c r="I59" s="42">
        <f>SUMPRODUCT($B$4:$B$6,1-NORMSDIST((LN(SQRT(G59*H59))-LN($C$4:$C$6))/$B$9))</f>
        <v/>
      </c>
      <c r="J59" s="9">
        <f>IF(L58&gt;0.25,SQRT(J58*K58),J58)</f>
        <v/>
      </c>
      <c r="K59" s="9">
        <f>IF(L58&gt;0.25,K58,SQRT(J58*K58))</f>
        <v/>
      </c>
      <c r="L59" s="42">
        <f>SUMPRODUCT($B$4:$B$6,1-NORMSDIST((LN(SQRT(J59*K59))-LN($C$4:$C$6))/$B$9))</f>
        <v/>
      </c>
      <c r="M59" s="9">
        <f>IF(O58&gt;0.09999999999999998,SQRT(M58*N58),M58)</f>
        <v/>
      </c>
      <c r="N59" s="9">
        <f>IF(O58&gt;0.09999999999999998,N58,SQRT(M58*N58))</f>
        <v/>
      </c>
      <c r="O59" s="42">
        <f>SUMPRODUCT($B$4:$B$6,1-NORMSDIST((LN(SQRT(M59*N59))-LN($C$4:$C$6))/$B$9))</f>
        <v/>
      </c>
    </row>
    <row r="60">
      <c r="A60" s="9">
        <f>IF(C59&gt;0.5,SQRT(A59*B59),A59)</f>
        <v/>
      </c>
      <c r="B60" s="9">
        <f>IF(C59&gt;0.5,B59,SQRT(A59*B59))</f>
        <v/>
      </c>
      <c r="C60" s="42">
        <f>SUMPRODUCT($B$4:$B$6,1-NORMSDIST((LN(SQRT(A60*B60))-LN($C$4:$C$6))/$B$9))</f>
        <v/>
      </c>
      <c r="D60" s="9">
        <f>IF(F59&gt;0.9,SQRT(D59*E59),D59)</f>
        <v/>
      </c>
      <c r="E60" s="9">
        <f>IF(F59&gt;0.9,E59,SQRT(D59*E59))</f>
        <v/>
      </c>
      <c r="F60" s="42">
        <f>SUMPRODUCT($B$4:$B$6,1-NORMSDIST((LN(SQRT(D60*E60))-LN($C$4:$C$6))/$B$9))</f>
        <v/>
      </c>
      <c r="G60" s="9">
        <f>IF(I59&gt;0.75,SQRT(G59*H59),G59)</f>
        <v/>
      </c>
      <c r="H60" s="9">
        <f>IF(I59&gt;0.75,H59,SQRT(G59*H59))</f>
        <v/>
      </c>
      <c r="I60" s="42">
        <f>SUMPRODUCT($B$4:$B$6,1-NORMSDIST((LN(SQRT(G60*H60))-LN($C$4:$C$6))/$B$9))</f>
        <v/>
      </c>
      <c r="J60" s="9">
        <f>IF(L59&gt;0.25,SQRT(J59*K59),J59)</f>
        <v/>
      </c>
      <c r="K60" s="9">
        <f>IF(L59&gt;0.25,K59,SQRT(J59*K59))</f>
        <v/>
      </c>
      <c r="L60" s="42">
        <f>SUMPRODUCT($B$4:$B$6,1-NORMSDIST((LN(SQRT(J60*K60))-LN($C$4:$C$6))/$B$9))</f>
        <v/>
      </c>
      <c r="M60" s="9">
        <f>IF(O59&gt;0.09999999999999998,SQRT(M59*N59),M59)</f>
        <v/>
      </c>
      <c r="N60" s="9">
        <f>IF(O59&gt;0.09999999999999998,N59,SQRT(M59*N59))</f>
        <v/>
      </c>
      <c r="O60" s="42">
        <f>SUMPRODUCT($B$4:$B$6,1-NORMSDIST((LN(SQRT(M60*N60))-LN($C$4:$C$6))/$B$9))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MOD engine calculation: research target (12m) (reconciled set, no scenario deltas)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6" t="n">
        <v>0</v>
      </c>
    </row>
    <row r="5">
      <c r="A5" t="inlineStr">
        <is>
          <t>Scenario Margin Δ</t>
        </is>
      </c>
      <c r="B5" s="16" t="n">
        <v>0</v>
      </c>
    </row>
    <row r="6">
      <c r="A6" t="inlineStr">
        <is>
          <t>Scenario Multiple Δ (turns)</t>
        </is>
      </c>
      <c r="B6" s="43" t="n">
        <v>0</v>
      </c>
    </row>
    <row r="7">
      <c r="A7" t="inlineStr">
        <is>
          <t>Scenario WACC Δ</t>
        </is>
      </c>
      <c r="B7" s="16" t="n">
        <v>0</v>
      </c>
    </row>
    <row r="8">
      <c r="A8" t="inlineStr">
        <is>
          <t>Scenario Multiple %Δ</t>
        </is>
      </c>
      <c r="B8" s="16" t="n">
        <v>0</v>
      </c>
    </row>
    <row r="9">
      <c r="A9" t="inlineStr">
        <is>
          <t>Scenario Stated EPS/FCF %Δ</t>
        </is>
      </c>
      <c r="B9" s="16" t="n">
        <v>0</v>
      </c>
    </row>
    <row r="10">
      <c r="A10" t="inlineStr">
        <is>
          <t>Scenario Custom %Δ</t>
        </is>
      </c>
      <c r="B10" s="16" t="n">
        <v>0</v>
      </c>
    </row>
    <row r="12">
      <c r="A12" t="inlineStr">
        <is>
          <t>WACC</t>
        </is>
      </c>
      <c r="B12" s="16">
        <f>Valuation!$B$51+B7</f>
        <v/>
      </c>
    </row>
    <row r="13">
      <c r="A13" t="inlineStr">
        <is>
          <t>Years from last FY end to target date</t>
        </is>
      </c>
      <c r="B13" s="44">
        <f>(Valuation!$B$45-Valuation!$B$49)/365.25</f>
        <v/>
      </c>
    </row>
    <row r="14">
      <c r="A14" t="inlineStr">
        <is>
          <t>Years from last FY end to balance date</t>
        </is>
      </c>
      <c r="B14" s="44">
        <f>(Valuation!$B$55-Valuation!$B$49)/365.25</f>
        <v/>
      </c>
    </row>
    <row r="15">
      <c r="A15" t="inlineStr">
        <is>
          <t>Years from last FY end to share count date</t>
        </is>
      </c>
      <c r="B15" s="44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Valuation!$B$49+ROUND(365.25*C19,0)</f>
        <v/>
      </c>
      <c r="D20" s="18">
        <f>Valuation!$B$49+ROUND(365.25*D19,0)</f>
        <v/>
      </c>
      <c r="E20" s="18">
        <f>Valuation!$B$49+ROUND(365.25*E19,0)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Valuation!$B$50</f>
        <v/>
      </c>
      <c r="C22" s="21">
        <f>C139</f>
        <v/>
      </c>
      <c r="D22" s="21">
        <f>D139</f>
        <v/>
      </c>
      <c r="E22" s="21">
        <f>E139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C142</f>
        <v/>
      </c>
      <c r="D24" s="21">
        <f>D142</f>
        <v/>
      </c>
      <c r="E24" s="21">
        <f>E142</f>
        <v/>
      </c>
    </row>
    <row r="25">
      <c r="A25" t="inlineStr">
        <is>
          <t>Tax rate</t>
        </is>
      </c>
      <c r="C25" s="16">
        <f>Model!E63</f>
        <v/>
      </c>
      <c r="D25" s="16">
        <f>Model!F63</f>
        <v/>
      </c>
      <c r="E25" s="16">
        <f>Model!G63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C22*(Model!E64)</f>
        <v/>
      </c>
      <c r="D27" s="21">
        <f>D22*(Model!F64)</f>
        <v/>
      </c>
      <c r="E27" s="21">
        <f>E22*(Model!G64)</f>
        <v/>
      </c>
    </row>
    <row r="28">
      <c r="A28" t="inlineStr">
        <is>
          <t>Capex</t>
        </is>
      </c>
      <c r="C28" s="21">
        <f>C22*(Model!E65)</f>
        <v/>
      </c>
      <c r="D28" s="21">
        <f>D22*(Model!F65)</f>
        <v/>
      </c>
      <c r="E28" s="21">
        <f>E22*(Model!G65)</f>
        <v/>
      </c>
    </row>
    <row r="29">
      <c r="A29" t="inlineStr">
        <is>
          <t>Working capital increase</t>
        </is>
      </c>
      <c r="C29" s="21">
        <f>(Model!E66)*(C22-B22)</f>
        <v/>
      </c>
      <c r="D29" s="21">
        <f>(Model!F66)*(D22-C22)</f>
        <v/>
      </c>
      <c r="E29" s="21">
        <f>(Model!G66)*(E22-D22)</f>
        <v/>
      </c>
    </row>
    <row r="30">
      <c r="A30" t="inlineStr">
        <is>
          <t>Stock comp</t>
        </is>
      </c>
      <c r="C30" s="21">
        <f>C22*(Model!E67)</f>
        <v/>
      </c>
      <c r="D30" s="21">
        <f>D22*(Model!F67)</f>
        <v/>
      </c>
      <c r="E30" s="21">
        <f>E22*(Model!G67)</f>
        <v/>
      </c>
    </row>
    <row r="31">
      <c r="A31" t="inlineStr">
        <is>
          <t>Free cash flow to firm</t>
        </is>
      </c>
      <c r="C31" s="21">
        <f>C26+C27-C28-C29-IF(AND(Valuation!$B$47="adjusted",Valuation!$B$48="cost"),C30*(1-C25),0)</f>
        <v/>
      </c>
      <c r="D31" s="21">
        <f>D26+D27-D28-D29-IF(AND(Valuation!$B$47="adjusted",Valuation!$B$48="cost"),D30*(1-D25),0)</f>
        <v/>
      </c>
      <c r="E31" s="21">
        <f>E26+E27-E28-E29-IF(AND(Valuation!$B$47="adjusted",Valuation!$B$48="cost"),E30*(1-E25),0)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C24+C27+C22*(Model!E71)</f>
        <v/>
      </c>
      <c r="D33" s="21">
        <f>D24+D27+D22*(Model!F71)</f>
        <v/>
      </c>
      <c r="E33" s="21">
        <f>E24+E27+E22*(Model!G71)</f>
        <v/>
      </c>
    </row>
    <row r="34">
      <c r="A34" t="inlineStr">
        <is>
          <t>Shareholder returns + other uses</t>
        </is>
      </c>
      <c r="C34" s="21">
        <f>C22*Model!E69+Model!E68+Model!E70</f>
        <v/>
      </c>
      <c r="D34" s="21">
        <f>D22*Model!F69+Model!F68+Model!F70</f>
        <v/>
      </c>
      <c r="E34" s="21">
        <f>E22*Model!G69+Model!G68+Model!G70</f>
        <v/>
      </c>
    </row>
    <row r="35">
      <c r="A35" t="inlineStr">
        <is>
          <t>Share of year after target date</t>
        </is>
      </c>
      <c r="C35" s="44">
        <f>IF(C19&lt;=$B$13,0,C19-MAX(C19-1,$B$13))</f>
        <v/>
      </c>
      <c r="D35" s="44">
        <f>IF(D19&lt;=$B$13,0,D19-MAX(D19-1,$B$13))</f>
        <v/>
      </c>
      <c r="E35" s="44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4">
        <f>MAX(0,MIN(C19,$B$13)-MAX(C19-1,$B$14))</f>
        <v/>
      </c>
      <c r="D37" s="44">
        <f>MAX(0,MIN(D19,$B$13)-MAX(D19-1,$B$14))</f>
        <v/>
      </c>
      <c r="E37" s="44">
        <f>MAX(0,MIN(E19,$B$13)-MAX(E19-1,$B$14))</f>
        <v/>
      </c>
    </row>
    <row r="38">
      <c r="A38" t="inlineStr">
        <is>
          <t>NTM weight at target date</t>
        </is>
      </c>
      <c r="C38" s="44">
        <f>MAX(0,MIN(C19,$B$13+1)-MAX(C19-1,$B$13))</f>
        <v/>
      </c>
      <c r="D38" s="44">
        <f>MAX(0,MIN(D19,$B$13+1)-MAX(D19-1,$B$13))</f>
        <v/>
      </c>
      <c r="E38" s="44">
        <f>MAX(0,MIN(E19,$B$13+1)-MAX(E19-1,$B$13))</f>
        <v/>
      </c>
    </row>
    <row r="39">
      <c r="A39" t="inlineStr">
        <is>
          <t>LTM weight at target date</t>
        </is>
      </c>
      <c r="B39" s="44">
        <f>MAX(0,MIN(0,$B$13)-MAX(-1,$B$13-1))</f>
        <v/>
      </c>
      <c r="C39" s="44">
        <f>MAX(0,MIN(C19,$B$13)-MAX(C19-1,$B$13-1))</f>
        <v/>
      </c>
      <c r="D39" s="44">
        <f>MAX(0,MIN(D19,$B$13)-MAX(D19-1,$B$13-1))</f>
        <v/>
      </c>
      <c r="E39" s="44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Valuation!$B$58*(1-$C$25)*MAX(Valuation!$B$56,0)*MAX($B$13-$B$14,0)</f>
        <v/>
      </c>
    </row>
    <row r="50">
      <c r="A50" t="inlineStr">
        <is>
          <t>Net debt at target date</t>
        </is>
      </c>
      <c r="B50" s="21">
        <f>IF(Valuation!$B$59="",Valuation!$B$56-B47+B49+B48,Valuation!$B$59)</f>
        <v/>
      </c>
    </row>
    <row r="51">
      <c r="A51" t="inlineStr">
        <is>
          <t>Minority interests</t>
        </is>
      </c>
      <c r="B51" s="21">
        <f>Valuation!$B$57</f>
        <v/>
      </c>
    </row>
    <row r="52">
      <c r="A52" t="inlineStr">
        <is>
          <t>Adjustments (probability-weighted)</t>
        </is>
      </c>
      <c r="B52" s="21">
        <f>0</f>
        <v/>
      </c>
    </row>
    <row r="53">
      <c r="A53" t="inlineStr">
        <is>
          <t>Diluted shares at target date (M)</t>
        </is>
      </c>
      <c r="B53" s="26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1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6">
        <f>Valuation!C70</f>
        <v/>
      </c>
      <c r="H68">
        <f>IF(B68="EV/sales",1,IF(B68="EV/EBIT",2,IF(B68="EV/EBITDA",IF(Valuation!E70="adjusted",4,3),IF(B68="P/E",5,6))))</f>
        <v/>
      </c>
      <c r="I68" s="45">
        <f>IF(AND(B68="P/E",Valuation!F70&lt;&gt;""),(Valuation!F70)*(1+$B$9),IF(AND(B68="FCF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1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71)*(1+$B$9)/C69,(E69-IF(Valuation!H71,$B$54,0))/C69/$B$53))+$B$52/$B$53)</f>
        <v/>
      </c>
      <c r="G69" s="16">
        <f>Valuation!C71</f>
        <v/>
      </c>
      <c r="H69">
        <f>IF(B69="EV/sales",1,IF(B69="EV/EBIT",2,IF(B69="EV/EBITDA",IF(Valuation!E71="adjusted",4,3),IF(B69="P/E",5,6))))</f>
        <v/>
      </c>
      <c r="I69" s="45">
        <f>IF(AND(B69="P/E",Valuation!F71&lt;&gt;""),(Valuation!F71)*(1+$B$9),IF(AND(B69="FCF yield",Valuation!G71&lt;&gt;""),(Valuation!G71)*(1+$B$9),E69))</f>
        <v/>
      </c>
    </row>
    <row r="70">
      <c r="A70" s="17" t="inlineStr">
        <is>
          <t>Value per share at target date (weighted methods)</t>
        </is>
      </c>
      <c r="F70" s="6">
        <f>SUMPRODUCT(F67:F69,G67:G69)/SUM(G67:G69)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Data Centers: revenue growth</t>
        </is>
      </c>
      <c r="C131" s="16">
        <f>Model!E12+$B$4</f>
        <v/>
      </c>
      <c r="D131" s="16">
        <f>Model!F12+$B$4</f>
        <v/>
      </c>
      <c r="E131" s="16">
        <f>Model!G12+$B$4</f>
        <v/>
      </c>
    </row>
    <row r="132">
      <c r="A132" t="inlineStr">
        <is>
          <t>Data Centers: revenue</t>
        </is>
      </c>
      <c r="B132" s="10">
        <f>Valuation!$B$88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Data Centers: EBIT margin</t>
        </is>
      </c>
      <c r="C133" s="16">
        <f>Model!E14+$B$5</f>
        <v/>
      </c>
      <c r="D133" s="16">
        <f>Model!F14+$B$5</f>
        <v/>
      </c>
      <c r="E133" s="16">
        <f>Model!G14+$B$5</f>
        <v/>
      </c>
    </row>
    <row r="134">
      <c r="A134" t="inlineStr">
        <is>
          <t>Data Centers: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Commercial HVAC: revenue growth</t>
        </is>
      </c>
      <c r="C135" s="16">
        <f>Model!E16+$B$4</f>
        <v/>
      </c>
      <c r="D135" s="16">
        <f>Model!F16+$B$4</f>
        <v/>
      </c>
      <c r="E135" s="16">
        <f>Model!G16+$B$4</f>
        <v/>
      </c>
    </row>
    <row r="136">
      <c r="A136" t="inlineStr">
        <is>
          <t>Commercial HVAC: revenue</t>
        </is>
      </c>
      <c r="B136" s="10">
        <f>Valuation!$B$89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Commercial HVAC: EBIT margin</t>
        </is>
      </c>
      <c r="C137" s="16">
        <f>Model!E18+$B$5</f>
        <v/>
      </c>
      <c r="D137" s="16">
        <f>Model!F18+$B$5</f>
        <v/>
      </c>
      <c r="E137" s="16">
        <f>Model!G18+$B$5</f>
        <v/>
      </c>
    </row>
    <row r="138">
      <c r="A138" t="inlineStr">
        <is>
          <t>Commercial HVAC: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s="17" t="inlineStr">
        <is>
          <t>Total segment revenue</t>
        </is>
      </c>
      <c r="C139" s="21">
        <f>C132+C136</f>
        <v/>
      </c>
      <c r="D139" s="21">
        <f>D132+D136</f>
        <v/>
      </c>
      <c r="E139" s="21">
        <f>E132+E136</f>
        <v/>
      </c>
    </row>
    <row r="140">
      <c r="A140" t="inlineStr">
        <is>
          <t>Total segment EBIT</t>
        </is>
      </c>
      <c r="C140" s="21">
        <f>C134+C138</f>
        <v/>
      </c>
      <c r="D140" s="21">
        <f>D134+D138</f>
        <v/>
      </c>
      <c r="E140" s="21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7" t="inlineStr">
        <is>
          <t>EBIT (segments + corporate)</t>
        </is>
      </c>
      <c r="C142" s="21">
        <f>C140+C141</f>
        <v/>
      </c>
      <c r="D142" s="21">
        <f>D140+D141</f>
        <v/>
      </c>
      <c r="E142" s="21">
        <f>E140+E141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6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MOD engine calculation: bear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N(Valuation!C83)</f>
        <v/>
      </c>
    </row>
    <row r="5">
      <c r="A5" t="inlineStr">
        <is>
          <t>Scenario Margin Δ</t>
        </is>
      </c>
      <c r="B5" s="12">
        <f>N(Valuation!D83)</f>
        <v/>
      </c>
    </row>
    <row r="6">
      <c r="A6" t="inlineStr">
        <is>
          <t>Scenario Multiple Δ (turns)</t>
        </is>
      </c>
      <c r="B6" s="46">
        <f>N(Valuation!E83)</f>
        <v/>
      </c>
    </row>
    <row r="7">
      <c r="A7" t="inlineStr">
        <is>
          <t>Scenario WACC Δ</t>
        </is>
      </c>
      <c r="B7" s="12">
        <f>N(Valuation!F83)</f>
        <v/>
      </c>
    </row>
    <row r="8">
      <c r="A8" t="inlineStr">
        <is>
          <t>Scenario Multiple %Δ</t>
        </is>
      </c>
      <c r="B8" s="12">
        <f>N(Valuation!G83)</f>
        <v/>
      </c>
    </row>
    <row r="9">
      <c r="A9" t="inlineStr">
        <is>
          <t>Scenario Stated EPS/FCF %Δ</t>
        </is>
      </c>
      <c r="B9" s="12">
        <f>N(Valuation!H83)</f>
        <v/>
      </c>
    </row>
    <row r="10">
      <c r="A10" t="inlineStr">
        <is>
          <t>Scenario Custom %Δ</t>
        </is>
      </c>
      <c r="B10" s="12">
        <f>N(Valuation!I83)</f>
        <v/>
      </c>
    </row>
    <row r="12">
      <c r="A12" t="inlineStr">
        <is>
          <t>WACC</t>
        </is>
      </c>
      <c r="B12" s="16">
        <f>Valuation!$B$51+B7</f>
        <v/>
      </c>
    </row>
    <row r="13">
      <c r="A13" t="inlineStr">
        <is>
          <t>Years from last FY end to target date</t>
        </is>
      </c>
      <c r="B13" s="44">
        <f>(Valuation!$B$45-Valuation!$B$49)/365.25</f>
        <v/>
      </c>
    </row>
    <row r="14">
      <c r="A14" t="inlineStr">
        <is>
          <t>Years from last FY end to balance date</t>
        </is>
      </c>
      <c r="B14" s="44">
        <f>(Valuation!$B$55-Valuation!$B$49)/365.25</f>
        <v/>
      </c>
    </row>
    <row r="15">
      <c r="A15" t="inlineStr">
        <is>
          <t>Years from last FY end to share count date</t>
        </is>
      </c>
      <c r="B15" s="44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Valuation!$B$49+ROUND(365.25*C19,0)</f>
        <v/>
      </c>
      <c r="D20" s="18">
        <f>Valuation!$B$49+ROUND(365.25*D19,0)</f>
        <v/>
      </c>
      <c r="E20" s="18">
        <f>Valuation!$B$49+ROUND(365.25*E19,0)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Valuation!$B$50</f>
        <v/>
      </c>
      <c r="C22" s="21">
        <f>C139</f>
        <v/>
      </c>
      <c r="D22" s="21">
        <f>D139</f>
        <v/>
      </c>
      <c r="E22" s="21">
        <f>E139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C142</f>
        <v/>
      </c>
      <c r="D24" s="21">
        <f>D142</f>
        <v/>
      </c>
      <c r="E24" s="21">
        <f>E142</f>
        <v/>
      </c>
    </row>
    <row r="25">
      <c r="A25" t="inlineStr">
        <is>
          <t>Tax rate</t>
        </is>
      </c>
      <c r="C25" s="16">
        <f>Model!E63</f>
        <v/>
      </c>
      <c r="D25" s="16">
        <f>Model!F63</f>
        <v/>
      </c>
      <c r="E25" s="16">
        <f>Model!G63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C22*(Model!E64)</f>
        <v/>
      </c>
      <c r="D27" s="21">
        <f>D22*(Model!F64)</f>
        <v/>
      </c>
      <c r="E27" s="21">
        <f>E22*(Model!G64)</f>
        <v/>
      </c>
    </row>
    <row r="28">
      <c r="A28" t="inlineStr">
        <is>
          <t>Capex</t>
        </is>
      </c>
      <c r="C28" s="21">
        <f>C22*(Model!E65)</f>
        <v/>
      </c>
      <c r="D28" s="21">
        <f>D22*(Model!F65)</f>
        <v/>
      </c>
      <c r="E28" s="21">
        <f>E22*(Model!G65)</f>
        <v/>
      </c>
    </row>
    <row r="29">
      <c r="A29" t="inlineStr">
        <is>
          <t>Working capital increase</t>
        </is>
      </c>
      <c r="C29" s="21">
        <f>(Model!E66)*(C22-B22)</f>
        <v/>
      </c>
      <c r="D29" s="21">
        <f>(Model!F66)*(D22-C22)</f>
        <v/>
      </c>
      <c r="E29" s="21">
        <f>(Model!G66)*(E22-D22)</f>
        <v/>
      </c>
    </row>
    <row r="30">
      <c r="A30" t="inlineStr">
        <is>
          <t>Stock comp</t>
        </is>
      </c>
      <c r="C30" s="21">
        <f>C22*(Model!E67)</f>
        <v/>
      </c>
      <c r="D30" s="21">
        <f>D22*(Model!F67)</f>
        <v/>
      </c>
      <c r="E30" s="21">
        <f>E22*(Model!G67)</f>
        <v/>
      </c>
    </row>
    <row r="31">
      <c r="A31" t="inlineStr">
        <is>
          <t>Free cash flow to firm</t>
        </is>
      </c>
      <c r="C31" s="21">
        <f>C26+C27-C28-C29-IF(AND(Valuation!$B$47="adjusted",Valuation!$B$48="cost"),C30*(1-C25),0)</f>
        <v/>
      </c>
      <c r="D31" s="21">
        <f>D26+D27-D28-D29-IF(AND(Valuation!$B$47="adjusted",Valuation!$B$48="cost"),D30*(1-D25),0)</f>
        <v/>
      </c>
      <c r="E31" s="21">
        <f>E26+E27-E28-E29-IF(AND(Valuation!$B$47="adjusted",Valuation!$B$48="cost"),E30*(1-E25),0)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C24+C27+C22*(Model!E71)</f>
        <v/>
      </c>
      <c r="D33" s="21">
        <f>D24+D27+D22*(Model!F71)</f>
        <v/>
      </c>
      <c r="E33" s="21">
        <f>E24+E27+E22*(Model!G71)</f>
        <v/>
      </c>
    </row>
    <row r="34">
      <c r="A34" t="inlineStr">
        <is>
          <t>Shareholder returns + other uses</t>
        </is>
      </c>
      <c r="C34" s="21">
        <f>C22*Model!E69+Model!E68+Model!E70</f>
        <v/>
      </c>
      <c r="D34" s="21">
        <f>D22*Model!F69+Model!F68+Model!F70</f>
        <v/>
      </c>
      <c r="E34" s="21">
        <f>E22*Model!G69+Model!G68+Model!G70</f>
        <v/>
      </c>
    </row>
    <row r="35">
      <c r="A35" t="inlineStr">
        <is>
          <t>Share of year after target date</t>
        </is>
      </c>
      <c r="C35" s="44">
        <f>IF(C19&lt;=$B$13,0,C19-MAX(C19-1,$B$13))</f>
        <v/>
      </c>
      <c r="D35" s="44">
        <f>IF(D19&lt;=$B$13,0,D19-MAX(D19-1,$B$13))</f>
        <v/>
      </c>
      <c r="E35" s="44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4">
        <f>MAX(0,MIN(C19,$B$13)-MAX(C19-1,$B$14))</f>
        <v/>
      </c>
      <c r="D37" s="44">
        <f>MAX(0,MIN(D19,$B$13)-MAX(D19-1,$B$14))</f>
        <v/>
      </c>
      <c r="E37" s="44">
        <f>MAX(0,MIN(E19,$B$13)-MAX(E19-1,$B$14))</f>
        <v/>
      </c>
    </row>
    <row r="38">
      <c r="A38" t="inlineStr">
        <is>
          <t>NTM weight at target date</t>
        </is>
      </c>
      <c r="C38" s="44">
        <f>MAX(0,MIN(C19,$B$13+1)-MAX(C19-1,$B$13))</f>
        <v/>
      </c>
      <c r="D38" s="44">
        <f>MAX(0,MIN(D19,$B$13+1)-MAX(D19-1,$B$13))</f>
        <v/>
      </c>
      <c r="E38" s="44">
        <f>MAX(0,MIN(E19,$B$13+1)-MAX(E19-1,$B$13))</f>
        <v/>
      </c>
    </row>
    <row r="39">
      <c r="A39" t="inlineStr">
        <is>
          <t>LTM weight at target date</t>
        </is>
      </c>
      <c r="B39" s="44">
        <f>MAX(0,MIN(0,$B$13)-MAX(-1,$B$13-1))</f>
        <v/>
      </c>
      <c r="C39" s="44">
        <f>MAX(0,MIN(C19,$B$13)-MAX(C19-1,$B$13-1))</f>
        <v/>
      </c>
      <c r="D39" s="44">
        <f>MAX(0,MIN(D19,$B$13)-MAX(D19-1,$B$13-1))</f>
        <v/>
      </c>
      <c r="E39" s="44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Valuation!$B$58*(1-$C$25)*MAX(Valuation!$B$56,0)*MAX($B$13-$B$14,0)</f>
        <v/>
      </c>
    </row>
    <row r="50">
      <c r="A50" t="inlineStr">
        <is>
          <t>Net debt at target date</t>
        </is>
      </c>
      <c r="B50" s="21">
        <f>IF(Valuation!$B$59="",Valuation!$B$56-B47+B49+B48,Valuation!$B$59)</f>
        <v/>
      </c>
    </row>
    <row r="51">
      <c r="A51" t="inlineStr">
        <is>
          <t>Minority interests</t>
        </is>
      </c>
      <c r="B51" s="21">
        <f>Valuation!$B$57</f>
        <v/>
      </c>
    </row>
    <row r="52">
      <c r="A52" t="inlineStr">
        <is>
          <t>Adjustments (probability-weighted)</t>
        </is>
      </c>
      <c r="B52" s="21">
        <f>0</f>
        <v/>
      </c>
    </row>
    <row r="53">
      <c r="A53" t="inlineStr">
        <is>
          <t>Diluted shares at target date (M)</t>
        </is>
      </c>
      <c r="B53" s="26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1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6">
        <f>Valuation!C70</f>
        <v/>
      </c>
      <c r="H68">
        <f>IF(B68="EV/sales",1,IF(B68="EV/EBIT",2,IF(B68="EV/EBITDA",IF(Valuation!E70="adjusted",4,3),IF(B68="P/E",5,6))))</f>
        <v/>
      </c>
      <c r="I68" s="45">
        <f>IF(AND(B68="P/E",Valuation!F70&lt;&gt;""),(Valuation!F70)*(1+$B$9),IF(AND(B68="FCF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1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71)*(1+$B$9)/C69,(E69-IF(Valuation!H71,$B$54,0))/C69/$B$53))+$B$52/$B$53)</f>
        <v/>
      </c>
      <c r="G69" s="16">
        <f>Valuation!C71</f>
        <v/>
      </c>
      <c r="H69">
        <f>IF(B69="EV/sales",1,IF(B69="EV/EBIT",2,IF(B69="EV/EBITDA",IF(Valuation!E71="adjusted",4,3),IF(B69="P/E",5,6))))</f>
        <v/>
      </c>
      <c r="I69" s="45">
        <f>IF(AND(B69="P/E",Valuation!F71&lt;&gt;""),(Valuation!F71)*(1+$B$9),IF(AND(B69="FCF yield",Valuation!G71&lt;&gt;""),(Valuation!G71)*(1+$B$9),E69))</f>
        <v/>
      </c>
    </row>
    <row r="70">
      <c r="A70" s="17" t="inlineStr">
        <is>
          <t>Value per share at target date (weighted methods)</t>
        </is>
      </c>
      <c r="F70" s="6">
        <f>SUMPRODUCT(F67:F69,G67:G69)/SUM(G67:G69)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Data Centers: revenue growth</t>
        </is>
      </c>
      <c r="C131" s="16">
        <f>Model!E12+$B$4+$B$250</f>
        <v/>
      </c>
      <c r="D131" s="16">
        <f>Model!F12+$B$4</f>
        <v/>
      </c>
      <c r="E131" s="16">
        <f>Model!G12+$B$4</f>
        <v/>
      </c>
    </row>
    <row r="132">
      <c r="A132" t="inlineStr">
        <is>
          <t>Data Centers: revenue</t>
        </is>
      </c>
      <c r="B132" s="10">
        <f>Valuation!$B$88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Data Centers: EBIT margin</t>
        </is>
      </c>
      <c r="C133" s="16">
        <f>Model!E14+$B$5+$B$251</f>
        <v/>
      </c>
      <c r="D133" s="16">
        <f>Model!F14+$B$5+$B$252</f>
        <v/>
      </c>
      <c r="E133" s="16">
        <f>Model!G14+$B$5+$B$253</f>
        <v/>
      </c>
    </row>
    <row r="134">
      <c r="A134" t="inlineStr">
        <is>
          <t>Data Centers: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Commercial HVAC: revenue growth</t>
        </is>
      </c>
      <c r="C135" s="16">
        <f>Model!E16+$B$4</f>
        <v/>
      </c>
      <c r="D135" s="16">
        <f>Model!F16+$B$4</f>
        <v/>
      </c>
      <c r="E135" s="16">
        <f>Model!G16+$B$4</f>
        <v/>
      </c>
    </row>
    <row r="136">
      <c r="A136" t="inlineStr">
        <is>
          <t>Commercial HVAC: revenue</t>
        </is>
      </c>
      <c r="B136" s="10">
        <f>Valuation!$B$89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Commercial HVAC: EBIT margin</t>
        </is>
      </c>
      <c r="C137" s="16">
        <f>Model!E18+$B$5</f>
        <v/>
      </c>
      <c r="D137" s="16">
        <f>Model!F18+$B$5</f>
        <v/>
      </c>
      <c r="E137" s="16">
        <f>Model!G18+$B$5</f>
        <v/>
      </c>
    </row>
    <row r="138">
      <c r="A138" t="inlineStr">
        <is>
          <t>Commercial HVAC: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s="17" t="inlineStr">
        <is>
          <t>Total segment revenue</t>
        </is>
      </c>
      <c r="C139" s="21">
        <f>C132+C136</f>
        <v/>
      </c>
      <c r="D139" s="21">
        <f>D132+D136</f>
        <v/>
      </c>
      <c r="E139" s="21">
        <f>E132+E136</f>
        <v/>
      </c>
    </row>
    <row r="140">
      <c r="A140" t="inlineStr">
        <is>
          <t>Total segment EBIT</t>
        </is>
      </c>
      <c r="C140" s="21">
        <f>C134+C138</f>
        <v/>
      </c>
      <c r="D140" s="21">
        <f>D134+D138</f>
        <v/>
      </c>
      <c r="E140" s="21">
        <f>E134+E138</f>
        <v/>
      </c>
    </row>
    <row r="141">
      <c r="A141" t="inlineStr">
        <is>
          <t>Corporate / unallocated EBIT</t>
        </is>
      </c>
      <c r="C141" s="10">
        <f>Model!E21+$B$254</f>
        <v/>
      </c>
      <c r="D141" s="10">
        <f>Model!F21+$B$255</f>
        <v/>
      </c>
      <c r="E141" s="10">
        <f>Model!G21+$B$256</f>
        <v/>
      </c>
    </row>
    <row r="142">
      <c r="A142" s="17" t="inlineStr">
        <is>
          <t>EBIT (segments + corporate)</t>
        </is>
      </c>
      <c r="C142" s="21">
        <f>C140+C141</f>
        <v/>
      </c>
      <c r="D142" s="21">
        <f>D140+D141</f>
        <v/>
      </c>
      <c r="E142" s="21">
        <f>E140+E141</f>
        <v/>
      </c>
    </row>
    <row r="249">
      <c r="A249" s="17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Data Centers: revenue growth, year 1</t>
        </is>
      </c>
      <c r="B250" s="47" t="n">
        <v>-0.2474959393611262</v>
      </c>
    </row>
    <row r="251">
      <c r="A251" t="inlineStr">
        <is>
          <t>Data Centers: EBIT margin, year 1</t>
        </is>
      </c>
      <c r="B251" s="47" t="n">
        <v>-0.04000000000000004</v>
      </c>
    </row>
    <row r="252">
      <c r="A252" t="inlineStr">
        <is>
          <t>Data Centers: EBIT margin, year 2</t>
        </is>
      </c>
      <c r="B252" s="47" t="n">
        <v>-0.04000000000000004</v>
      </c>
    </row>
    <row r="253">
      <c r="A253" t="inlineStr">
        <is>
          <t>Data Centers: EBIT margin, year 3</t>
        </is>
      </c>
      <c r="B253" s="47" t="n">
        <v>-0.04000000000000004</v>
      </c>
    </row>
    <row r="254">
      <c r="A254" t="inlineStr">
        <is>
          <t>Corporate EBIT, year 1</t>
        </is>
      </c>
      <c r="B254" s="47" t="n">
        <v>-10</v>
      </c>
    </row>
    <row r="255">
      <c r="A255" t="inlineStr">
        <is>
          <t>Corporate EBIT, year 2</t>
        </is>
      </c>
      <c r="B255" s="47" t="n">
        <v>-10</v>
      </c>
    </row>
    <row r="256">
      <c r="A256" t="inlineStr">
        <is>
          <t>Corporate EBIT, year 3</t>
        </is>
      </c>
      <c r="B256" s="47" t="n">
        <v>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MOD engine calculation: base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N(Valuation!C84)</f>
        <v/>
      </c>
    </row>
    <row r="5">
      <c r="A5" t="inlineStr">
        <is>
          <t>Scenario Margin Δ</t>
        </is>
      </c>
      <c r="B5" s="12">
        <f>N(Valuation!D84)</f>
        <v/>
      </c>
    </row>
    <row r="6">
      <c r="A6" t="inlineStr">
        <is>
          <t>Scenario Multiple Δ (turns)</t>
        </is>
      </c>
      <c r="B6" s="46">
        <f>N(Valuation!E84)</f>
        <v/>
      </c>
    </row>
    <row r="7">
      <c r="A7" t="inlineStr">
        <is>
          <t>Scenario WACC Δ</t>
        </is>
      </c>
      <c r="B7" s="12">
        <f>N(Valuation!F84)</f>
        <v/>
      </c>
    </row>
    <row r="8">
      <c r="A8" t="inlineStr">
        <is>
          <t>Scenario Multiple %Δ</t>
        </is>
      </c>
      <c r="B8" s="12">
        <f>N(Valuation!G84)</f>
        <v/>
      </c>
    </row>
    <row r="9">
      <c r="A9" t="inlineStr">
        <is>
          <t>Scenario Stated EPS/FCF %Δ</t>
        </is>
      </c>
      <c r="B9" s="12">
        <f>N(Valuation!H84)</f>
        <v/>
      </c>
    </row>
    <row r="10">
      <c r="A10" t="inlineStr">
        <is>
          <t>Scenario Custom %Δ</t>
        </is>
      </c>
      <c r="B10" s="12">
        <f>N(Valuation!I84)</f>
        <v/>
      </c>
    </row>
    <row r="12">
      <c r="A12" t="inlineStr">
        <is>
          <t>WACC</t>
        </is>
      </c>
      <c r="B12" s="16">
        <f>Valuation!$B$51+B7</f>
        <v/>
      </c>
    </row>
    <row r="13">
      <c r="A13" t="inlineStr">
        <is>
          <t>Years from last FY end to target date</t>
        </is>
      </c>
      <c r="B13" s="44">
        <f>(Valuation!$B$45-Valuation!$B$49)/365.25</f>
        <v/>
      </c>
    </row>
    <row r="14">
      <c r="A14" t="inlineStr">
        <is>
          <t>Years from last FY end to balance date</t>
        </is>
      </c>
      <c r="B14" s="44">
        <f>(Valuation!$B$55-Valuation!$B$49)/365.25</f>
        <v/>
      </c>
    </row>
    <row r="15">
      <c r="A15" t="inlineStr">
        <is>
          <t>Years from last FY end to share count date</t>
        </is>
      </c>
      <c r="B15" s="44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Valuation!$B$49+ROUND(365.25*C19,0)</f>
        <v/>
      </c>
      <c r="D20" s="18">
        <f>Valuation!$B$49+ROUND(365.25*D19,0)</f>
        <v/>
      </c>
      <c r="E20" s="18">
        <f>Valuation!$B$49+ROUND(365.25*E19,0)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Valuation!$B$50</f>
        <v/>
      </c>
      <c r="C22" s="21">
        <f>C139</f>
        <v/>
      </c>
      <c r="D22" s="21">
        <f>D139</f>
        <v/>
      </c>
      <c r="E22" s="21">
        <f>E139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C142</f>
        <v/>
      </c>
      <c r="D24" s="21">
        <f>D142</f>
        <v/>
      </c>
      <c r="E24" s="21">
        <f>E142</f>
        <v/>
      </c>
    </row>
    <row r="25">
      <c r="A25" t="inlineStr">
        <is>
          <t>Tax rate</t>
        </is>
      </c>
      <c r="C25" s="16">
        <f>Model!E63</f>
        <v/>
      </c>
      <c r="D25" s="16">
        <f>Model!F63</f>
        <v/>
      </c>
      <c r="E25" s="16">
        <f>Model!G63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C22*(Model!E64)</f>
        <v/>
      </c>
      <c r="D27" s="21">
        <f>D22*(Model!F64)</f>
        <v/>
      </c>
      <c r="E27" s="21">
        <f>E22*(Model!G64)</f>
        <v/>
      </c>
    </row>
    <row r="28">
      <c r="A28" t="inlineStr">
        <is>
          <t>Capex</t>
        </is>
      </c>
      <c r="C28" s="21">
        <f>C22*(Model!E65)</f>
        <v/>
      </c>
      <c r="D28" s="21">
        <f>D22*(Model!F65)</f>
        <v/>
      </c>
      <c r="E28" s="21">
        <f>E22*(Model!G65)</f>
        <v/>
      </c>
    </row>
    <row r="29">
      <c r="A29" t="inlineStr">
        <is>
          <t>Working capital increase</t>
        </is>
      </c>
      <c r="C29" s="21">
        <f>(Model!E66)*(C22-B22)</f>
        <v/>
      </c>
      <c r="D29" s="21">
        <f>(Model!F66)*(D22-C22)</f>
        <v/>
      </c>
      <c r="E29" s="21">
        <f>(Model!G66)*(E22-D22)</f>
        <v/>
      </c>
    </row>
    <row r="30">
      <c r="A30" t="inlineStr">
        <is>
          <t>Stock comp</t>
        </is>
      </c>
      <c r="C30" s="21">
        <f>C22*(Model!E67)</f>
        <v/>
      </c>
      <c r="D30" s="21">
        <f>D22*(Model!F67)</f>
        <v/>
      </c>
      <c r="E30" s="21">
        <f>E22*(Model!G67)</f>
        <v/>
      </c>
    </row>
    <row r="31">
      <c r="A31" t="inlineStr">
        <is>
          <t>Free cash flow to firm</t>
        </is>
      </c>
      <c r="C31" s="21">
        <f>C26+C27-C28-C29-IF(AND(Valuation!$B$47="adjusted",Valuation!$B$48="cost"),C30*(1-C25),0)</f>
        <v/>
      </c>
      <c r="D31" s="21">
        <f>D26+D27-D28-D29-IF(AND(Valuation!$B$47="adjusted",Valuation!$B$48="cost"),D30*(1-D25),0)</f>
        <v/>
      </c>
      <c r="E31" s="21">
        <f>E26+E27-E28-E29-IF(AND(Valuation!$B$47="adjusted",Valuation!$B$48="cost"),E30*(1-E25),0)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C24+C27+C22*(Model!E71)</f>
        <v/>
      </c>
      <c r="D33" s="21">
        <f>D24+D27+D22*(Model!F71)</f>
        <v/>
      </c>
      <c r="E33" s="21">
        <f>E24+E27+E22*(Model!G71)</f>
        <v/>
      </c>
    </row>
    <row r="34">
      <c r="A34" t="inlineStr">
        <is>
          <t>Shareholder returns + other uses</t>
        </is>
      </c>
      <c r="C34" s="21">
        <f>C22*Model!E69+Model!E68+Model!E70</f>
        <v/>
      </c>
      <c r="D34" s="21">
        <f>D22*Model!F69+Model!F68+Model!F70</f>
        <v/>
      </c>
      <c r="E34" s="21">
        <f>E22*Model!G69+Model!G68+Model!G70</f>
        <v/>
      </c>
    </row>
    <row r="35">
      <c r="A35" t="inlineStr">
        <is>
          <t>Share of year after target date</t>
        </is>
      </c>
      <c r="C35" s="44">
        <f>IF(C19&lt;=$B$13,0,C19-MAX(C19-1,$B$13))</f>
        <v/>
      </c>
      <c r="D35" s="44">
        <f>IF(D19&lt;=$B$13,0,D19-MAX(D19-1,$B$13))</f>
        <v/>
      </c>
      <c r="E35" s="44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4">
        <f>MAX(0,MIN(C19,$B$13)-MAX(C19-1,$B$14))</f>
        <v/>
      </c>
      <c r="D37" s="44">
        <f>MAX(0,MIN(D19,$B$13)-MAX(D19-1,$B$14))</f>
        <v/>
      </c>
      <c r="E37" s="44">
        <f>MAX(0,MIN(E19,$B$13)-MAX(E19-1,$B$14))</f>
        <v/>
      </c>
    </row>
    <row r="38">
      <c r="A38" t="inlineStr">
        <is>
          <t>NTM weight at target date</t>
        </is>
      </c>
      <c r="C38" s="44">
        <f>MAX(0,MIN(C19,$B$13+1)-MAX(C19-1,$B$13))</f>
        <v/>
      </c>
      <c r="D38" s="44">
        <f>MAX(0,MIN(D19,$B$13+1)-MAX(D19-1,$B$13))</f>
        <v/>
      </c>
      <c r="E38" s="44">
        <f>MAX(0,MIN(E19,$B$13+1)-MAX(E19-1,$B$13))</f>
        <v/>
      </c>
    </row>
    <row r="39">
      <c r="A39" t="inlineStr">
        <is>
          <t>LTM weight at target date</t>
        </is>
      </c>
      <c r="B39" s="44">
        <f>MAX(0,MIN(0,$B$13)-MAX(-1,$B$13-1))</f>
        <v/>
      </c>
      <c r="C39" s="44">
        <f>MAX(0,MIN(C19,$B$13)-MAX(C19-1,$B$13-1))</f>
        <v/>
      </c>
      <c r="D39" s="44">
        <f>MAX(0,MIN(D19,$B$13)-MAX(D19-1,$B$13-1))</f>
        <v/>
      </c>
      <c r="E39" s="44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Valuation!$B$58*(1-$C$25)*MAX(Valuation!$B$56,0)*MAX($B$13-$B$14,0)</f>
        <v/>
      </c>
    </row>
    <row r="50">
      <c r="A50" t="inlineStr">
        <is>
          <t>Net debt at target date</t>
        </is>
      </c>
      <c r="B50" s="21">
        <f>IF(Valuation!$B$59="",Valuation!$B$56-B47+B49+B48,Valuation!$B$59)</f>
        <v/>
      </c>
    </row>
    <row r="51">
      <c r="A51" t="inlineStr">
        <is>
          <t>Minority interests</t>
        </is>
      </c>
      <c r="B51" s="21">
        <f>Valuation!$B$57</f>
        <v/>
      </c>
    </row>
    <row r="52">
      <c r="A52" t="inlineStr">
        <is>
          <t>Adjustments (probability-weighted)</t>
        </is>
      </c>
      <c r="B52" s="21">
        <f>0</f>
        <v/>
      </c>
    </row>
    <row r="53">
      <c r="A53" t="inlineStr">
        <is>
          <t>Diluted shares at target date (M)</t>
        </is>
      </c>
      <c r="B53" s="26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1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6">
        <f>Valuation!C70</f>
        <v/>
      </c>
      <c r="H68">
        <f>IF(B68="EV/sales",1,IF(B68="EV/EBIT",2,IF(B68="EV/EBITDA",IF(Valuation!E70="adjusted",4,3),IF(B68="P/E",5,6))))</f>
        <v/>
      </c>
      <c r="I68" s="45">
        <f>IF(AND(B68="P/E",Valuation!F70&lt;&gt;""),(Valuation!F70)*(1+$B$9),IF(AND(B68="FCF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1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71)*(1+$B$9)/C69,(E69-IF(Valuation!H71,$B$54,0))/C69/$B$53))+$B$52/$B$53)</f>
        <v/>
      </c>
      <c r="G69" s="16">
        <f>Valuation!C71</f>
        <v/>
      </c>
      <c r="H69">
        <f>IF(B69="EV/sales",1,IF(B69="EV/EBIT",2,IF(B69="EV/EBITDA",IF(Valuation!E71="adjusted",4,3),IF(B69="P/E",5,6))))</f>
        <v/>
      </c>
      <c r="I69" s="45">
        <f>IF(AND(B69="P/E",Valuation!F71&lt;&gt;""),(Valuation!F71)*(1+$B$9),IF(AND(B69="FCF yield",Valuation!G71&lt;&gt;""),(Valuation!G71)*(1+$B$9),E69))</f>
        <v/>
      </c>
    </row>
    <row r="70">
      <c r="A70" s="17" t="inlineStr">
        <is>
          <t>Value per share at target date (weighted methods)</t>
        </is>
      </c>
      <c r="F70" s="6">
        <f>SUMPRODUCT(F67:F69,G67:G69)/SUM(G67:G69)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Data Centers: revenue growth</t>
        </is>
      </c>
      <c r="C131" s="16">
        <f>Model!E12+$B$4</f>
        <v/>
      </c>
      <c r="D131" s="16">
        <f>Model!F12+$B$4</f>
        <v/>
      </c>
      <c r="E131" s="16">
        <f>Model!G12+$B$4</f>
        <v/>
      </c>
    </row>
    <row r="132">
      <c r="A132" t="inlineStr">
        <is>
          <t>Data Centers: revenue</t>
        </is>
      </c>
      <c r="B132" s="10">
        <f>Valuation!$B$88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Data Centers: EBIT margin</t>
        </is>
      </c>
      <c r="C133" s="16">
        <f>Model!E14+$B$5</f>
        <v/>
      </c>
      <c r="D133" s="16">
        <f>Model!F14+$B$5</f>
        <v/>
      </c>
      <c r="E133" s="16">
        <f>Model!G14+$B$5</f>
        <v/>
      </c>
    </row>
    <row r="134">
      <c r="A134" t="inlineStr">
        <is>
          <t>Data Centers: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Commercial HVAC: revenue growth</t>
        </is>
      </c>
      <c r="C135" s="16">
        <f>Model!E16+$B$4</f>
        <v/>
      </c>
      <c r="D135" s="16">
        <f>Model!F16+$B$4</f>
        <v/>
      </c>
      <c r="E135" s="16">
        <f>Model!G16+$B$4</f>
        <v/>
      </c>
    </row>
    <row r="136">
      <c r="A136" t="inlineStr">
        <is>
          <t>Commercial HVAC: revenue</t>
        </is>
      </c>
      <c r="B136" s="10">
        <f>Valuation!$B$89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Commercial HVAC: EBIT margin</t>
        </is>
      </c>
      <c r="C137" s="16">
        <f>Model!E18+$B$5</f>
        <v/>
      </c>
      <c r="D137" s="16">
        <f>Model!F18+$B$5</f>
        <v/>
      </c>
      <c r="E137" s="16">
        <f>Model!G18+$B$5</f>
        <v/>
      </c>
    </row>
    <row r="138">
      <c r="A138" t="inlineStr">
        <is>
          <t>Commercial HVAC: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s="17" t="inlineStr">
        <is>
          <t>Total segment revenue</t>
        </is>
      </c>
      <c r="C139" s="21">
        <f>C132+C136</f>
        <v/>
      </c>
      <c r="D139" s="21">
        <f>D132+D136</f>
        <v/>
      </c>
      <c r="E139" s="21">
        <f>E132+E136</f>
        <v/>
      </c>
    </row>
    <row r="140">
      <c r="A140" t="inlineStr">
        <is>
          <t>Total segment EBIT</t>
        </is>
      </c>
      <c r="C140" s="21">
        <f>C134+C138</f>
        <v/>
      </c>
      <c r="D140" s="21">
        <f>D134+D138</f>
        <v/>
      </c>
      <c r="E140" s="21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7" t="inlineStr">
        <is>
          <t>EBIT (segments + corporate)</t>
        </is>
      </c>
      <c r="C142" s="21">
        <f>C140+C141</f>
        <v/>
      </c>
      <c r="D142" s="21">
        <f>D140+D141</f>
        <v/>
      </c>
      <c r="E142" s="21">
        <f>E140+E141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MOD engine calculation: bull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N(Valuation!C85)</f>
        <v/>
      </c>
    </row>
    <row r="5">
      <c r="A5" t="inlineStr">
        <is>
          <t>Scenario Margin Δ</t>
        </is>
      </c>
      <c r="B5" s="12">
        <f>N(Valuation!D85)</f>
        <v/>
      </c>
    </row>
    <row r="6">
      <c r="A6" t="inlineStr">
        <is>
          <t>Scenario Multiple Δ (turns)</t>
        </is>
      </c>
      <c r="B6" s="46">
        <f>N(Valuation!E85)</f>
        <v/>
      </c>
    </row>
    <row r="7">
      <c r="A7" t="inlineStr">
        <is>
          <t>Scenario WACC Δ</t>
        </is>
      </c>
      <c r="B7" s="12">
        <f>N(Valuation!F85)</f>
        <v/>
      </c>
    </row>
    <row r="8">
      <c r="A8" t="inlineStr">
        <is>
          <t>Scenario Multiple %Δ</t>
        </is>
      </c>
      <c r="B8" s="12">
        <f>N(Valuation!G85)</f>
        <v/>
      </c>
    </row>
    <row r="9">
      <c r="A9" t="inlineStr">
        <is>
          <t>Scenario Stated EPS/FCF %Δ</t>
        </is>
      </c>
      <c r="B9" s="12">
        <f>N(Valuation!H85)</f>
        <v/>
      </c>
    </row>
    <row r="10">
      <c r="A10" t="inlineStr">
        <is>
          <t>Scenario Custom %Δ</t>
        </is>
      </c>
      <c r="B10" s="12">
        <f>N(Valuation!I85)</f>
        <v/>
      </c>
    </row>
    <row r="12">
      <c r="A12" t="inlineStr">
        <is>
          <t>WACC</t>
        </is>
      </c>
      <c r="B12" s="16">
        <f>Valuation!$B$51+B7</f>
        <v/>
      </c>
    </row>
    <row r="13">
      <c r="A13" t="inlineStr">
        <is>
          <t>Years from last FY end to target date</t>
        </is>
      </c>
      <c r="B13" s="44">
        <f>(Valuation!$B$45-Valuation!$B$49)/365.25</f>
        <v/>
      </c>
    </row>
    <row r="14">
      <c r="A14" t="inlineStr">
        <is>
          <t>Years from last FY end to balance date</t>
        </is>
      </c>
      <c r="B14" s="44">
        <f>(Valuation!$B$55-Valuation!$B$49)/365.25</f>
        <v/>
      </c>
    </row>
    <row r="15">
      <c r="A15" t="inlineStr">
        <is>
          <t>Years from last FY end to share count date</t>
        </is>
      </c>
      <c r="B15" s="44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Valuation!$B$49+ROUND(365.25*C19,0)</f>
        <v/>
      </c>
      <c r="D20" s="18">
        <f>Valuation!$B$49+ROUND(365.25*D19,0)</f>
        <v/>
      </c>
      <c r="E20" s="18">
        <f>Valuation!$B$49+ROUND(365.25*E19,0)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Valuation!$B$50</f>
        <v/>
      </c>
      <c r="C22" s="21">
        <f>C139</f>
        <v/>
      </c>
      <c r="D22" s="21">
        <f>D139</f>
        <v/>
      </c>
      <c r="E22" s="21">
        <f>E139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C142</f>
        <v/>
      </c>
      <c r="D24" s="21">
        <f>D142</f>
        <v/>
      </c>
      <c r="E24" s="21">
        <f>E142</f>
        <v/>
      </c>
    </row>
    <row r="25">
      <c r="A25" t="inlineStr">
        <is>
          <t>Tax rate</t>
        </is>
      </c>
      <c r="C25" s="16">
        <f>Model!E63</f>
        <v/>
      </c>
      <c r="D25" s="16">
        <f>Model!F63</f>
        <v/>
      </c>
      <c r="E25" s="16">
        <f>Model!G63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C22*(Model!E64)</f>
        <v/>
      </c>
      <c r="D27" s="21">
        <f>D22*(Model!F64)</f>
        <v/>
      </c>
      <c r="E27" s="21">
        <f>E22*(Model!G64)</f>
        <v/>
      </c>
    </row>
    <row r="28">
      <c r="A28" t="inlineStr">
        <is>
          <t>Capex</t>
        </is>
      </c>
      <c r="C28" s="21">
        <f>C22*(Model!E65)</f>
        <v/>
      </c>
      <c r="D28" s="21">
        <f>D22*(Model!F65)</f>
        <v/>
      </c>
      <c r="E28" s="21">
        <f>E22*(Model!G65)</f>
        <v/>
      </c>
    </row>
    <row r="29">
      <c r="A29" t="inlineStr">
        <is>
          <t>Working capital increase</t>
        </is>
      </c>
      <c r="C29" s="21">
        <f>(Model!E66)*(C22-B22)</f>
        <v/>
      </c>
      <c r="D29" s="21">
        <f>(Model!F66)*(D22-C22)</f>
        <v/>
      </c>
      <c r="E29" s="21">
        <f>(Model!G66)*(E22-D22)</f>
        <v/>
      </c>
    </row>
    <row r="30">
      <c r="A30" t="inlineStr">
        <is>
          <t>Stock comp</t>
        </is>
      </c>
      <c r="C30" s="21">
        <f>C22*(Model!E67)</f>
        <v/>
      </c>
      <c r="D30" s="21">
        <f>D22*(Model!F67)</f>
        <v/>
      </c>
      <c r="E30" s="21">
        <f>E22*(Model!G67)</f>
        <v/>
      </c>
    </row>
    <row r="31">
      <c r="A31" t="inlineStr">
        <is>
          <t>Free cash flow to firm</t>
        </is>
      </c>
      <c r="C31" s="21">
        <f>C26+C27-C28-C29-IF(AND(Valuation!$B$47="adjusted",Valuation!$B$48="cost"),C30*(1-C25),0)</f>
        <v/>
      </c>
      <c r="D31" s="21">
        <f>D26+D27-D28-D29-IF(AND(Valuation!$B$47="adjusted",Valuation!$B$48="cost"),D30*(1-D25),0)</f>
        <v/>
      </c>
      <c r="E31" s="21">
        <f>E26+E27-E28-E29-IF(AND(Valuation!$B$47="adjusted",Valuation!$B$48="cost"),E30*(1-E25),0)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C24+C27+C22*(Model!E71)</f>
        <v/>
      </c>
      <c r="D33" s="21">
        <f>D24+D27+D22*(Model!F71)</f>
        <v/>
      </c>
      <c r="E33" s="21">
        <f>E24+E27+E22*(Model!G71)</f>
        <v/>
      </c>
    </row>
    <row r="34">
      <c r="A34" t="inlineStr">
        <is>
          <t>Shareholder returns + other uses</t>
        </is>
      </c>
      <c r="C34" s="21">
        <f>C22*Model!E69+Model!E68+Model!E70</f>
        <v/>
      </c>
      <c r="D34" s="21">
        <f>D22*Model!F69+Model!F68+Model!F70</f>
        <v/>
      </c>
      <c r="E34" s="21">
        <f>E22*Model!G69+Model!G68+Model!G70</f>
        <v/>
      </c>
    </row>
    <row r="35">
      <c r="A35" t="inlineStr">
        <is>
          <t>Share of year after target date</t>
        </is>
      </c>
      <c r="C35" s="44">
        <f>IF(C19&lt;=$B$13,0,C19-MAX(C19-1,$B$13))</f>
        <v/>
      </c>
      <c r="D35" s="44">
        <f>IF(D19&lt;=$B$13,0,D19-MAX(D19-1,$B$13))</f>
        <v/>
      </c>
      <c r="E35" s="44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4">
        <f>MAX(0,MIN(C19,$B$13)-MAX(C19-1,$B$14))</f>
        <v/>
      </c>
      <c r="D37" s="44">
        <f>MAX(0,MIN(D19,$B$13)-MAX(D19-1,$B$14))</f>
        <v/>
      </c>
      <c r="E37" s="44">
        <f>MAX(0,MIN(E19,$B$13)-MAX(E19-1,$B$14))</f>
        <v/>
      </c>
    </row>
    <row r="38">
      <c r="A38" t="inlineStr">
        <is>
          <t>NTM weight at target date</t>
        </is>
      </c>
      <c r="C38" s="44">
        <f>MAX(0,MIN(C19,$B$13+1)-MAX(C19-1,$B$13))</f>
        <v/>
      </c>
      <c r="D38" s="44">
        <f>MAX(0,MIN(D19,$B$13+1)-MAX(D19-1,$B$13))</f>
        <v/>
      </c>
      <c r="E38" s="44">
        <f>MAX(0,MIN(E19,$B$13+1)-MAX(E19-1,$B$13))</f>
        <v/>
      </c>
    </row>
    <row r="39">
      <c r="A39" t="inlineStr">
        <is>
          <t>LTM weight at target date</t>
        </is>
      </c>
      <c r="B39" s="44">
        <f>MAX(0,MIN(0,$B$13)-MAX(-1,$B$13-1))</f>
        <v/>
      </c>
      <c r="C39" s="44">
        <f>MAX(0,MIN(C19,$B$13)-MAX(C19-1,$B$13-1))</f>
        <v/>
      </c>
      <c r="D39" s="44">
        <f>MAX(0,MIN(D19,$B$13)-MAX(D19-1,$B$13-1))</f>
        <v/>
      </c>
      <c r="E39" s="44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Valuation!$B$58*(1-$C$25)*MAX(Valuation!$B$56,0)*MAX($B$13-$B$14,0)</f>
        <v/>
      </c>
    </row>
    <row r="50">
      <c r="A50" t="inlineStr">
        <is>
          <t>Net debt at target date</t>
        </is>
      </c>
      <c r="B50" s="21">
        <f>IF(Valuation!$B$59="",Valuation!$B$56-B47+B49+B48,Valuation!$B$59)</f>
        <v/>
      </c>
    </row>
    <row r="51">
      <c r="A51" t="inlineStr">
        <is>
          <t>Minority interests</t>
        </is>
      </c>
      <c r="B51" s="21">
        <f>Valuation!$B$57</f>
        <v/>
      </c>
    </row>
    <row r="52">
      <c r="A52" t="inlineStr">
        <is>
          <t>Adjustments (probability-weighted)</t>
        </is>
      </c>
      <c r="B52" s="21">
        <f>0</f>
        <v/>
      </c>
    </row>
    <row r="53">
      <c r="A53" t="inlineStr">
        <is>
          <t>Diluted shares at target date (M)</t>
        </is>
      </c>
      <c r="B53" s="26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1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6">
        <f>Valuation!C70</f>
        <v/>
      </c>
      <c r="H68">
        <f>IF(B68="EV/sales",1,IF(B68="EV/EBIT",2,IF(B68="EV/EBITDA",IF(Valuation!E70="adjusted",4,3),IF(B68="P/E",5,6))))</f>
        <v/>
      </c>
      <c r="I68" s="45">
        <f>IF(AND(B68="P/E",Valuation!F70&lt;&gt;""),(Valuation!F70)*(1+$B$9),IF(AND(B68="FCF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1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71)*(1+$B$9)/C69,(E69-IF(Valuation!H71,$B$54,0))/C69/$B$53))+$B$52/$B$53)</f>
        <v/>
      </c>
      <c r="G69" s="16">
        <f>Valuation!C71</f>
        <v/>
      </c>
      <c r="H69">
        <f>IF(B69="EV/sales",1,IF(B69="EV/EBIT",2,IF(B69="EV/EBITDA",IF(Valuation!E71="adjusted",4,3),IF(B69="P/E",5,6))))</f>
        <v/>
      </c>
      <c r="I69" s="45">
        <f>IF(AND(B69="P/E",Valuation!F71&lt;&gt;""),(Valuation!F71)*(1+$B$9),IF(AND(B69="FCF yield",Valuation!G71&lt;&gt;""),(Valuation!G71)*(1+$B$9),E69))</f>
        <v/>
      </c>
    </row>
    <row r="70">
      <c r="A70" s="17" t="inlineStr">
        <is>
          <t>Value per share at target date (weighted methods)</t>
        </is>
      </c>
      <c r="F70" s="6">
        <f>SUMPRODUCT(F67:F69,G67:G69)/SUM(G67:G69)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Data Centers: revenue growth</t>
        </is>
      </c>
      <c r="C131" s="16">
        <f>Model!E12+$B$4+$B$250</f>
        <v/>
      </c>
      <c r="D131" s="16">
        <f>Model!F12+$B$4</f>
        <v/>
      </c>
      <c r="E131" s="16">
        <f>Model!G12+$B$4</f>
        <v/>
      </c>
    </row>
    <row r="132">
      <c r="A132" t="inlineStr">
        <is>
          <t>Data Centers: revenue</t>
        </is>
      </c>
      <c r="B132" s="10">
        <f>Valuation!$B$88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Data Centers: EBIT margin</t>
        </is>
      </c>
      <c r="C133" s="16">
        <f>Model!E14+$B$5+$B$251</f>
        <v/>
      </c>
      <c r="D133" s="16">
        <f>Model!F14+$B$5+$B$252</f>
        <v/>
      </c>
      <c r="E133" s="16">
        <f>Model!G14+$B$5+$B$253</f>
        <v/>
      </c>
    </row>
    <row r="134">
      <c r="A134" t="inlineStr">
        <is>
          <t>Data Centers: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Commercial HVAC: revenue growth</t>
        </is>
      </c>
      <c r="C135" s="16">
        <f>Model!E16+$B$4</f>
        <v/>
      </c>
      <c r="D135" s="16">
        <f>Model!F16+$B$4</f>
        <v/>
      </c>
      <c r="E135" s="16">
        <f>Model!G16+$B$4</f>
        <v/>
      </c>
    </row>
    <row r="136">
      <c r="A136" t="inlineStr">
        <is>
          <t>Commercial HVAC: revenue</t>
        </is>
      </c>
      <c r="B136" s="10">
        <f>Valuation!$B$89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Commercial HVAC: EBIT margin</t>
        </is>
      </c>
      <c r="C137" s="16">
        <f>Model!E18+$B$5</f>
        <v/>
      </c>
      <c r="D137" s="16">
        <f>Model!F18+$B$5</f>
        <v/>
      </c>
      <c r="E137" s="16">
        <f>Model!G18+$B$5</f>
        <v/>
      </c>
    </row>
    <row r="138">
      <c r="A138" t="inlineStr">
        <is>
          <t>Commercial HVAC: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s="17" t="inlineStr">
        <is>
          <t>Total segment revenue</t>
        </is>
      </c>
      <c r="C139" s="21">
        <f>C132+C136</f>
        <v/>
      </c>
      <c r="D139" s="21">
        <f>D132+D136</f>
        <v/>
      </c>
      <c r="E139" s="21">
        <f>E132+E136</f>
        <v/>
      </c>
    </row>
    <row r="140">
      <c r="A140" t="inlineStr">
        <is>
          <t>Total segment EBIT</t>
        </is>
      </c>
      <c r="C140" s="21">
        <f>C134+C138</f>
        <v/>
      </c>
      <c r="D140" s="21">
        <f>D134+D138</f>
        <v/>
      </c>
      <c r="E140" s="21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7" t="inlineStr">
        <is>
          <t>EBIT (segments + corporate)</t>
        </is>
      </c>
      <c r="C142" s="21">
        <f>C140+C141</f>
        <v/>
      </c>
      <c r="D142" s="21">
        <f>D140+D141</f>
        <v/>
      </c>
      <c r="E142" s="21">
        <f>E140+E141</f>
        <v/>
      </c>
    </row>
    <row r="249">
      <c r="A249" s="17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Data Centers: revenue growth, year 1</t>
        </is>
      </c>
      <c r="B250" s="47" t="n">
        <v>0.2474959393611258</v>
      </c>
    </row>
    <row r="251">
      <c r="A251" t="inlineStr">
        <is>
          <t>Data Centers: EBIT margin, year 1</t>
        </is>
      </c>
      <c r="B251" s="47" t="n">
        <v>0.01500000000000001</v>
      </c>
    </row>
    <row r="252">
      <c r="A252" t="inlineStr">
        <is>
          <t>Data Centers: EBIT margin, year 2</t>
        </is>
      </c>
      <c r="B252" s="47" t="n">
        <v>0.01500000000000001</v>
      </c>
    </row>
    <row r="253">
      <c r="A253" t="inlineStr">
        <is>
          <t>Data Centers: EBIT margin, year 3</t>
        </is>
      </c>
      <c r="B253" s="47" t="n">
        <v>0.01500000000000001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12" max="12"/>
    <col width="70" customWidth="1" min="13" max="13"/>
  </cols>
  <sheetData>
    <row r="1">
      <c r="A1" s="1" t="inlineStr">
        <is>
          <t>MOD: each forecaster's own assumption set through the same engine (from model_engine.json, not live)</t>
        </is>
      </c>
    </row>
    <row r="3">
      <c r="A3" s="3" t="inlineStr">
        <is>
          <t>Set</t>
        </is>
      </c>
      <c r="B3" s="3" t="inlineStr">
        <is>
          <t>Research target (12m)</t>
        </is>
      </c>
      <c r="C3" s="3" t="inlineStr">
        <is>
          <t>Median</t>
        </is>
      </c>
      <c r="D3" s="3" t="inlineStr">
        <is>
          <t>25th pct</t>
        </is>
      </c>
      <c r="E3" s="3" t="inlineStr">
        <is>
          <t>75th pct</t>
        </is>
      </c>
      <c r="F3" s="3" t="inlineStr">
        <is>
          <t>WACC</t>
        </is>
      </c>
      <c r="G3" s="3" t="inlineStr">
        <is>
          <t>Y1 growth</t>
        </is>
      </c>
      <c r="H3" s="3" t="inlineStr">
        <is>
          <t>Y1 margin</t>
        </is>
      </c>
      <c r="I3" s="3" t="inlineStr">
        <is>
          <t>Terminal growth</t>
        </is>
      </c>
      <c r="J3" s="3" t="inlineStr">
        <is>
          <t>DCF weight</t>
        </is>
      </c>
      <c r="K3" s="3" t="inlineStr">
        <is>
          <t>Years</t>
        </is>
      </c>
      <c r="L3" s="3" t="inlineStr">
        <is>
          <t>Multiples</t>
        </is>
      </c>
      <c r="M3" s="3" t="inlineStr">
        <is>
          <t>Supervisor's note</t>
        </is>
      </c>
    </row>
    <row r="4">
      <c r="A4" t="inlineStr">
        <is>
          <t>supervisor</t>
        </is>
      </c>
      <c r="B4" s="9" t="n">
        <v>169.0132040242604</v>
      </c>
      <c r="C4" s="9" t="n">
        <v>168.7887609000583</v>
      </c>
      <c r="D4" s="9" t="n">
        <v>118.8372564304966</v>
      </c>
      <c r="E4" s="9" t="n">
        <v>209.3038940562412</v>
      </c>
      <c r="F4" s="16" t="n"/>
      <c r="G4" s="16" t="n"/>
      <c r="H4" s="16" t="n"/>
      <c r="I4" s="16" t="n"/>
      <c r="J4" s="16" t="n">
        <v>0</v>
      </c>
      <c r="K4" t="n">
        <v>3</v>
      </c>
      <c r="L4" t="inlineStr">
        <is>
          <t>EV/EBITDA 13.57 (ntm); P/E 21.25 (ntm)</t>
        </is>
      </c>
      <c r="M4" s="39" t="inlineStr"/>
    </row>
    <row r="5">
      <c r="A5" t="inlineStr">
        <is>
          <t>agent_1</t>
        </is>
      </c>
      <c r="M5" t="inlineStr">
        <is>
          <t>engine error: no model_inputs found</t>
        </is>
      </c>
    </row>
    <row r="6">
      <c r="A6" t="inlineStr">
        <is>
          <t>agent_2</t>
        </is>
      </c>
      <c r="M6" t="inlineStr">
        <is>
          <t>engine error: no model_inputs found</t>
        </is>
      </c>
    </row>
    <row r="7">
      <c r="A7" t="inlineStr">
        <is>
          <t>agent_3</t>
        </is>
      </c>
      <c r="M7" t="inlineStr">
        <is>
          <t>engine error: no model_inputs found</t>
        </is>
      </c>
    </row>
    <row r="8">
      <c r="A8" t="inlineStr">
        <is>
          <t>agent_4</t>
        </is>
      </c>
      <c r="M8" t="inlineStr">
        <is>
          <t>engine error: no model_inputs found</t>
        </is>
      </c>
    </row>
    <row r="9">
      <c r="A9" t="inlineStr">
        <is>
          <t>agent_5</t>
        </is>
      </c>
      <c r="M9" t="inlineStr">
        <is>
          <t>engine error: no model_inputs found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40" customWidth="1" min="4" max="4"/>
    <col width="70" customWidth="1" min="6" max="6"/>
  </cols>
  <sheetData>
    <row r="1">
      <c r="A1" s="1" t="inlineStr">
        <is>
          <t>MOD: where each input comes from (source numbers point to the list below; F ids to the SEC fact table)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Basis</t>
        </is>
      </c>
      <c r="D3" s="3" t="inlineStr">
        <is>
          <t>Sources</t>
        </is>
      </c>
      <c r="E3" s="3" t="inlineStr">
        <is>
          <t>SEC fact ids</t>
        </is>
      </c>
      <c r="F3" s="3" t="inlineStr">
        <is>
          <t>Derivation</t>
        </is>
      </c>
    </row>
    <row r="4">
      <c r="A4" s="39" t="inlineStr">
        <is>
          <t>base revenue (RemainCo FY2026)</t>
        </is>
      </c>
      <c r="B4" t="inlineStr">
        <is>
          <t>2082.0</t>
        </is>
      </c>
      <c r="C4" t="inlineStr">
        <is>
          <t>reported</t>
        </is>
      </c>
      <c r="D4" t="inlineStr">
        <is>
          <t>6</t>
        </is>
      </c>
      <c r="E4" t="inlineStr">
        <is>
          <t>F3</t>
        </is>
      </c>
      <c r="F4" s="39" t="inlineStr">
        <is>
          <t>DC $1,108.2M + CHVAC $973.8M before eliminations (recast Ex.99.1); consolidated FY26 $3,181.1M (F3) incl. PT.</t>
        </is>
      </c>
    </row>
    <row r="5">
      <c r="A5" s="39" t="inlineStr">
        <is>
          <t>tax rate</t>
        </is>
      </c>
      <c r="B5" t="inlineStr">
        <is>
          <t>0.24</t>
        </is>
      </c>
      <c r="C5" t="inlineStr">
        <is>
          <t>estimate</t>
        </is>
      </c>
      <c r="D5" t="inlineStr"/>
      <c r="E5" t="inlineStr">
        <is>
          <t>F78, F85</t>
        </is>
      </c>
      <c r="F5" s="39" t="inlineStr">
        <is>
          <t>supervisor's 0.76 after-tax factor (normalized 24%, agents 1/2/4/5); FY26 GAAP ETR 63.2/186.5 = 33.9% (F78/F85) is not the basis</t>
        </is>
      </c>
    </row>
    <row r="6">
      <c r="A6" s="39" t="inlineStr">
        <is>
          <t>D&amp;A % of revenue</t>
        </is>
      </c>
      <c r="B6" t="inlineStr">
        <is>
          <t>0.0228</t>
        </is>
      </c>
      <c r="C6" t="inlineStr">
        <is>
          <t>estimate</t>
        </is>
      </c>
      <c r="D6" t="inlineStr">
        <is>
          <t>6</t>
        </is>
      </c>
      <c r="E6" t="inlineStr">
        <is>
          <t>F36</t>
        </is>
      </c>
      <c r="F6" s="39" t="inlineStr">
        <is>
          <t>FY26 D&amp;A DC $19.1M + CHVAC $28.4M = $47.5M (recast Ex.99.1 segment reconciliation, src 6; verified 2026-10-25) / $2,082.0M = 2.28%; consolidated FY26 D&amp;A $79.7M (F36, same table total incl. PT $30.8M, corporate $1.4M). Supervisor used $85M NTM.</t>
        </is>
      </c>
    </row>
    <row r="7">
      <c r="A7" s="39" t="inlineStr">
        <is>
          <t>capex % of revenue</t>
        </is>
      </c>
      <c r="B7" t="inlineStr">
        <is>
          <t>0.05</t>
        </is>
      </c>
      <c r="C7" t="inlineStr">
        <is>
          <t>estimate</t>
        </is>
      </c>
      <c r="D7" t="inlineStr">
        <is>
          <t>5</t>
        </is>
      </c>
      <c r="E7" t="inlineStr">
        <is>
          <t>F57</t>
        </is>
      </c>
      <c r="F7" s="39" t="inlineStr">
        <is>
          <t>filled in (not stated in this set's original work): consolidated capex guide $150-200M (Q1 slides); FY26 $143.3M (F57). No FV effect with net debt at horizon fixed.</t>
        </is>
      </c>
    </row>
    <row r="8">
      <c r="A8" s="39" t="inlineStr">
        <is>
          <t>NWC % of incremental revenue</t>
        </is>
      </c>
      <c r="B8" t="inlineStr">
        <is>
          <t>0.1</t>
        </is>
      </c>
      <c r="C8" t="inlineStr">
        <is>
          <t>estimate</t>
        </is>
      </c>
      <c r="D8" t="inlineStr"/>
      <c r="E8" t="inlineStr"/>
      <c r="F8" s="39" t="inlineStr">
        <is>
          <t>filled in (not stated in this set's original work); no FV effect with net debt at horizon fixed.</t>
        </is>
      </c>
    </row>
    <row r="9">
      <c r="A9" s="39" t="inlineStr">
        <is>
          <t>net debt at close and at horizon</t>
        </is>
      </c>
      <c r="B9" t="inlineStr">
        <is>
          <t>280.0</t>
        </is>
      </c>
      <c r="C9" t="inlineStr">
        <is>
          <t>estimate</t>
        </is>
      </c>
      <c r="D9" t="inlineStr">
        <is>
          <t>4, 1</t>
        </is>
      </c>
      <c r="E9" t="inlineStr">
        <is>
          <t>F98</t>
        </is>
      </c>
      <c r="F9" s="39" t="inlineStr">
        <is>
          <t>$432.9M at 2026-06-30 (Q1 FY27 Ex.99.1; F98 XBRL 434.5) - $155,991,275 Cash Distribution (Oct-1 8-K) = $276.9M, ~$280M; held at the horizon as in the supervisor FV.</t>
        </is>
      </c>
    </row>
    <row r="10">
      <c r="A10" s="39" t="inlineStr">
        <is>
          <t>interest rate on net debt</t>
        </is>
      </c>
      <c r="B10" t="inlineStr">
        <is>
          <t>0.0536</t>
        </is>
      </c>
      <c r="C10" t="inlineStr">
        <is>
          <t>estimate</t>
        </is>
      </c>
      <c r="D10" t="inlineStr"/>
      <c r="E10" t="inlineStr">
        <is>
          <t>F71</t>
        </is>
      </c>
      <c r="F10" s="39" t="inlineStr">
        <is>
          <t>supervisor's $15M NTM interest / $280M; FY26 interest $31.6M (F71) on ~$530M debt (F97).</t>
        </is>
      </c>
    </row>
    <row r="11">
      <c r="A11" s="39" t="inlineStr">
        <is>
          <t>diluted shares</t>
        </is>
      </c>
      <c r="B11" t="inlineStr">
        <is>
          <t>54.0</t>
        </is>
      </c>
      <c r="C11" t="inlineStr">
        <is>
          <t>reported</t>
        </is>
      </c>
      <c r="D11" t="inlineStr">
        <is>
          <t>4, 14</t>
        </is>
      </c>
      <c r="E11" t="inlineStr">
        <is>
          <t>F33</t>
        </is>
      </c>
      <c r="F11" s="39" t="inlineStr">
        <is>
          <t>Q1 FY27 diluted weighted shares 54.0M (F33); held flat as the supervisor did.</t>
        </is>
      </c>
    </row>
    <row r="12">
      <c r="A12" s="39" t="inlineStr">
        <is>
          <t>EV/EBITDA multiple</t>
        </is>
      </c>
      <c r="B12" t="inlineStr">
        <is>
          <t>14.17</t>
        </is>
      </c>
      <c r="C12" t="inlineStr">
        <is>
          <t>estimate</t>
        </is>
      </c>
      <c r="D12" t="inlineStr">
        <is>
          <t>28, 29, 30, 31, 32, 33, 34, 35, 36, 37, 38, 39, 40, 41, 42, 43, 44, 45, 46, 47, 48, 49, 50, 51, 52, 53, 54, 55, 56, 57, 58, 59, 60, 61, 62, 63, 64, 65, 66, 67, 68, 69, 70, 71</t>
        </is>
      </c>
      <c r="E12" t="inlineStr">
        <is>
          <t>VRT.price, NVT.price, AAON.price, TT.price, JCI.price, CARR.price, SPXC.price, CSW.price, ETN.price</t>
        </is>
      </c>
      <c r="F12" s="39" t="inlineStr">
        <is>
          <t>Peer refresh 2026-10-26 (Kilian 06:07Z set; 06:25Z card: plain medians). Median of 12 peers' EV / consensus EBITDA calendarised to 2026-10-23 (EV = 10-23 close x MarketScreener share count + current-FY net debt; no peer adds back stock comp, as MOD does not; Alfa Laval IFRS 16 put on the after-lease basis). Values: 6367.T 7.83, MTRS.ST 8.71, CARR 11.12, SPXC 12.17, AAON 12.45, ALFA.ST 14.16, NVT 14.17, CSW 15.76, VRT 16.13, JCI 16.93, ETN 17.99, TT 18.62 -&gt; median 14.17x (mean of unrounded Alfa Laval 14.160 and NVT 14.174 = 14.167). DC-thermal peers 13.31x vs HVAC peers 14.16x: no mix premium or discount. Replaces 17.0x (16% below a 20.23x median on a TTM / (1 + 3Y CAGR) proxy, which on 10-23 reads 16.64x vs 14.07x on consensus for the same peers).</t>
        </is>
      </c>
    </row>
    <row r="13">
      <c r="A13" s="39" t="inlineStr">
        <is>
          <t>P/E multiple</t>
        </is>
      </c>
      <c r="B13" t="inlineStr">
        <is>
          <t>23.23</t>
        </is>
      </c>
      <c r="C13" t="inlineStr">
        <is>
          <t>estimate</t>
        </is>
      </c>
      <c r="D13" t="inlineStr">
        <is>
          <t>28, 29, 30, 31, 32, 33, 34, 35, 36, 37, 38, 39, 40, 41, 42, 43, 44, 45, 46, 47, 48, 49, 50, 51, 52, 53, 54, 55, 56, 57, 58, 59, 60, 61, 62, 63, 64, 65, 66, 67, 68, 69, 70, 71</t>
        </is>
      </c>
      <c r="E13" t="inlineStr">
        <is>
          <t>VRT.price, NVT.price, AAON.price, TT.price, JCI.price, CARR.price, SPXC.price, CSW.price, ETN.price</t>
        </is>
      </c>
      <c r="F13" s="39" t="inlineStr">
        <is>
          <t>Median of 12 peers' 2026-10-23 close / NTM EPS calendarised to 2026-10-23, every peer put on MOD's EPS basis (MOD adjusted EPS excludes only restructuring, disposition and acquisition costs, keeps intangible amortization and stock comp; Q1 FY27 Ex.99.1). Zacks consensus matches each company's adjusted EPS (latest reported quarter equal); after-tax run-rate amortization taken out for VRT 0.76, NVT 0.77, CARR 0.79, SPXC 1.65, CSW 2.88, ETN 2.00 per share (each release). Foreign rows are reported EPS (bounded; see comps). Values: MTRS.ST 15.11, 6367.T 19.56, SPXC 20.51, AAON 20.67, ALFA.ST 22.07, JCI 23.19, CARR 23.27, NVT 23.45, VRT 24.97, TT 25.78, ETN 26.87, CSW 28.71 -&gt; median 23.23x (mean of JCI 23.19 and CARR 23.27). Plain median (Kilian card 2026-10-26).</t>
        </is>
      </c>
    </row>
    <row r="14">
      <c r="A14" s="39" t="inlineStr">
        <is>
          <t>driver:dc_rev</t>
        </is>
      </c>
      <c r="B14" t="inlineStr">
        <is>
          <t>Data Centers segment net sales: 1,108 -&gt; 1,828/2,590/3,110 (estimate)</t>
        </is>
      </c>
      <c r="C14" t="inlineStr">
        <is>
          <t>estimate</t>
        </is>
      </c>
      <c r="D14" t="inlineStr"/>
      <c r="E14" t="inlineStr"/>
      <c r="F14" s="39" t="inlineStr">
        <is>
          <t>FY27 = 1,108.2 x 1.65 (agents 1830-1870, median 1830 = +65%); FY28 $2,590M = agents median (2380-2650; +41.6%); FY29 $3,110M = agents median of the 3 that state it (3100-3180; +20.1%). Cross-check: the &gt;$4B CY27-29 agreement is ~$1.33B/yr (4/3, estimate), ~51% of FY28 DC sales. Variant view: management 50-70%/yr (FY28 $2.74-3.11B) above; the 2025 US capacity aim of "nearly $2B DC revenue in FY28" (agent_4 src 13, trade press) below.</t>
        </is>
      </c>
    </row>
    <row r="15">
      <c r="A15" s="39" t="inlineStr">
        <is>
          <t>driver:dc_margin</t>
        </is>
      </c>
      <c r="B15" t="inlineStr">
        <is>
          <t>Data Centers segment adj. EBITDA margin: 0.1937 -&gt; 0.197/0.2/0.2 (estimate)</t>
        </is>
      </c>
      <c r="C15" t="inlineStr">
        <is>
          <t>estimate</t>
        </is>
      </c>
      <c r="D15" t="inlineStr"/>
      <c r="E15" t="inlineStr"/>
      <c r="F15" s="39" t="inlineStr">
        <is>
          <t>Agents median: FY27 19.7% (18.5-20.0%), FY28 20.0% (19.5-20.0%), FY29 20.0% (19.5-20.5%, 2 agents). Variant: the &gt;85% DC earnings guide implies ~21.7% for FY27 on our sales; bear stays ~16% (agent_1/3 bear).</t>
        </is>
      </c>
    </row>
    <row r="16">
      <c r="A16" s="39" t="inlineStr">
        <is>
          <t>driver:chvac_rev</t>
        </is>
      </c>
      <c r="B16" t="inlineStr">
        <is>
          <t>Commercial HVAC segment net sales: 973.8 -&gt; 1,040/1,100/1,170 (estimate)</t>
        </is>
      </c>
      <c r="C16" t="inlineStr">
        <is>
          <t>estimate</t>
        </is>
      </c>
      <c r="D16" t="inlineStr"/>
      <c r="E16" t="inlineStr"/>
      <c r="F16" s="39" t="inlineStr">
        <is>
          <t>Agents median: FY27 $1,040M (+6.8%; 1040-1060), FY28 $1,100M (+5.8%; 1097-1130), FY29 $1,170M (+6.4%; 1157-1209).</t>
        </is>
      </c>
    </row>
    <row r="17">
      <c r="A17" s="39" t="inlineStr">
        <is>
          <t>driver:chvac_margin</t>
        </is>
      </c>
      <c r="B17" t="inlineStr">
        <is>
          <t>Commercial HVAC segment adj. EBITDA margin: 0.1668 -&gt; 0.165/0.1675/0.1675 (estimate)</t>
        </is>
      </c>
      <c r="C17" t="inlineStr">
        <is>
          <t>estimate</t>
        </is>
      </c>
      <c r="D17" t="inlineStr"/>
      <c r="E17" t="inlineStr"/>
      <c r="F17" s="39" t="inlineStr">
        <is>
          <t>Agents median: FY27 16.5% (16.3-17.0%), FY28-29 16.75% (agent_1 17.0%, agent_5 16.5%).</t>
        </is>
      </c>
    </row>
    <row r="18">
      <c r="A18" s="39" t="inlineStr">
        <is>
          <t>driver:corp_cost</t>
        </is>
      </c>
      <c r="B18" t="inlineStr">
        <is>
          <t>RemainCo corporate &amp; eliminations (adj. EBITDA): -62.6 -&gt; -80/-82/-85 (estimate)</t>
        </is>
      </c>
      <c r="C18" t="inlineStr">
        <is>
          <t>estimate</t>
        </is>
      </c>
      <c r="D18" t="inlineStr"/>
      <c r="E18" t="inlineStr"/>
      <c r="F18" s="39" t="inlineStr">
        <is>
          <t>All five agents -$80M FY27 (Q1 -$23.0M annualises to -$92M, less TSA income from the spun-off PT business); FY28 median -$82M (-82 to -83.5), FY29 -$85M. Variant: -$90M if the Q1 run-rate holds (agents 1/3 bear).</t>
        </is>
      </c>
    </row>
    <row r="19">
      <c r="A19" s="39" t="inlineStr">
        <is>
          <t>Exit multiples k=0.8 (EV/EBITDA and P/E)</t>
        </is>
      </c>
      <c r="B19" t="inlineStr">
        <is>
          <t>13.57x / 21.25x</t>
        </is>
      </c>
      <c r="C19" t="inlineStr">
        <is>
          <t>estimate</t>
        </is>
      </c>
      <c r="D19" t="inlineStr">
        <is>
          <t>1, 4, 14, 72, 73, 74</t>
        </is>
      </c>
      <c r="E19" t="inlineStr"/>
      <c r="F19" s="39" t="inlineStr">
        <is>
          <t>Exit-multiple rule (Kilian card 2026-10-26 12:16Z; METHOD.md Peer comparables): exit = peer median x (own NTM multiple / peer median)^k, k = 0.8. Peer medians 14.17x EV/EBITDA and 23.23x P/E (unchanged, comps_review). MOD own multiples measured on the post-spin model's NTM (PT spin/Gentherm merger completed 2026-10-01, 8-K; consensus not yet post-spin: MarketScreener FY3/26 EBITDA 471 matches total pre-spin Modine, RemainCo is ~2.08B revenue, and Zacks FY3/27 EPS 7.02 vs the model's 5.23). Calendar NTM from 2026-10-23, w = 159/365 = 0.4356 on FY3/27: EBITDA 0.4356 x 451.81 + 0.5644 x 620.25 = 546.9M; EV = 133.34 x 53.113M (MarketScreener share count, as for the peers) + post-spin net debt 265.3M (8-K/A Ex.99.1 pro forma at 2026-06-30: debt 43.4 + 276.0 - cash 54.1) = 7,347M -&gt; 13.43x. EPS (EBITDA - D&amp;A - 5.36% x 280M interest) x 0.76 / 54.0M: FY3/27 5.227, FY3/28 7.334, NTM 6.416 -&gt; 133.34 / 6.416 = 20.78x. Exits: EV/EBITDA 14.17 x (13.43 / 14.17)^0.8 = 13.57x; P/E 23.23 x (20.78 / 23.23)^0.8 = 21.25x. On stale consensus (EV 7,178M / NTM 723.5M = 9.92x; P/E 15.57x) the exits would be 10.65x / 16.87x (research target (12m) 132.60); card to Kilian. Re-measure on post-spin consensus after the Q2 report (date TBA) and Investor Day (Nov 18). Note: the model balance still carries the 280M net-debt estimate (unchanged here; the 8-K/A figure is 265.3M).</t>
        </is>
      </c>
    </row>
    <row r="21">
      <c r="A21" s="3" t="inlineStr">
        <is>
          <t>#</t>
        </is>
      </c>
      <c r="B21" s="3" t="inlineStr">
        <is>
          <t>Source</t>
        </is>
      </c>
      <c r="C21" s="3" t="inlineStr">
        <is>
          <t>Date</t>
        </is>
      </c>
      <c r="D21" s="3" t="inlineStr">
        <is>
          <t>Link</t>
        </is>
      </c>
    </row>
    <row r="22">
      <c r="A22" t="n">
        <v>1</v>
      </c>
      <c r="B22" s="39" t="inlineStr">
        <is>
          <t>Modine 8-K: completion of PT spin/Gentherm merger</t>
        </is>
      </c>
      <c r="C22" t="inlineStr">
        <is>
          <t>2026-10-01</t>
        </is>
      </c>
      <c r="D22" t="inlineStr">
        <is>
          <t>https://www.sec.gov/Archives/edgar/data/67347/000110465926112870/tm2626618d1_8k.htm</t>
        </is>
      </c>
    </row>
    <row r="23">
      <c r="A23" t="n">
        <v>2</v>
      </c>
      <c r="B23" s="39" t="inlineStr">
        <is>
          <t>EDGAR submissions index, Modine (no 8-K/A as of Oct 6)</t>
        </is>
      </c>
      <c r="C23" t="inlineStr">
        <is>
          <t>2026-10-06</t>
        </is>
      </c>
      <c r="D23" t="inlineStr">
        <is>
          <t>https://data.sec.gov/submissions/CIK0000067347.json</t>
        </is>
      </c>
    </row>
    <row r="24">
      <c r="A24" t="n">
        <v>3</v>
      </c>
      <c r="B24" s="39" t="inlineStr">
        <is>
          <t>EDGAR submissions index, Gentherm</t>
        </is>
      </c>
      <c r="C24" t="inlineStr">
        <is>
          <t>2026-10-06</t>
        </is>
      </c>
      <c r="D24" t="inlineStr">
        <is>
          <t>https://data.sec.gov/submissions/CIK0000903129.json</t>
        </is>
      </c>
    </row>
    <row r="25">
      <c r="A25" t="n">
        <v>4</v>
      </c>
      <c r="B25" s="39" t="inlineStr">
        <is>
          <t>Modine Q1 FY27 results Ex.99.1</t>
        </is>
      </c>
      <c r="C25" t="inlineStr">
        <is>
          <t>2026-07-29</t>
        </is>
      </c>
      <c r="D25" t="inlineStr">
        <is>
          <t>https://www.sec.gov/Archives/edgar/data/67347/000110465926088230/mod-20260729xex99d1.htm</t>
        </is>
      </c>
    </row>
    <row r="26">
      <c r="A26" t="n">
        <v>5</v>
      </c>
      <c r="B26" s="39" t="inlineStr">
        <is>
          <t>Modine Q1 FY27 slides Ex.99.2 (slide 12 segment outlook)</t>
        </is>
      </c>
      <c r="C26" t="inlineStr">
        <is>
          <t>2026-07-29</t>
        </is>
      </c>
      <c r="D26" t="inlineStr">
        <is>
          <t>https://www.sec.gov/Archives/edgar/data/67347/000110465926088230/mod-20260729xex99d2.htm</t>
        </is>
      </c>
    </row>
    <row r="27">
      <c r="A27" t="n">
        <v>6</v>
      </c>
      <c r="B27" s="39" t="inlineStr">
        <is>
          <t>Modine 8-K Ex.99.1 recast segment results</t>
        </is>
      </c>
      <c r="C27" t="inlineStr">
        <is>
          <t>2026-07-24</t>
        </is>
      </c>
      <c r="D27" t="inlineStr">
        <is>
          <t>https://www.sec.gov/Archives/edgar/data/67347/000110465926086644/mod-20260724xex99d1.htm</t>
        </is>
      </c>
    </row>
    <row r="28">
      <c r="A28" t="n">
        <v>7</v>
      </c>
      <c r="B28" s="39" t="inlineStr">
        <is>
          <t>Modine FY2026 10-K</t>
        </is>
      </c>
      <c r="C28" t="inlineStr">
        <is>
          <t>2026-05-27</t>
        </is>
      </c>
      <c r="D28" t="inlineStr">
        <is>
          <t>https://www.sec.gov/Archives/edgar/data/67347/000110465926066795/mod-20260331x10k.htm</t>
        </is>
      </c>
    </row>
    <row r="29">
      <c r="A29" t="n">
        <v>8</v>
      </c>
      <c r="B29" s="39" t="inlineStr">
        <is>
          <t>stockanalysis statistics: SPXC</t>
        </is>
      </c>
      <c r="C29" t="inlineStr">
        <is>
          <t>2026-10-06</t>
        </is>
      </c>
      <c r="D29" t="inlineStr">
        <is>
          <t>https://stockanalysis.com/stocks/spxc/statistics/</t>
        </is>
      </c>
    </row>
    <row r="30">
      <c r="A30" t="n">
        <v>9</v>
      </c>
      <c r="B30" s="39" t="inlineStr">
        <is>
          <t>stockanalysis statistics: CSWI</t>
        </is>
      </c>
      <c r="C30" t="inlineStr">
        <is>
          <t>2026-10-06</t>
        </is>
      </c>
      <c r="D30" t="inlineStr">
        <is>
          <t>https://stockanalysis.com/stocks/cswi/statistics/</t>
        </is>
      </c>
    </row>
    <row r="31">
      <c r="A31" t="n">
        <v>10</v>
      </c>
      <c r="B31" s="39" t="inlineStr">
        <is>
          <t>stockanalysis statistics: ETN</t>
        </is>
      </c>
      <c r="C31" t="inlineStr">
        <is>
          <t>2026-10-06</t>
        </is>
      </c>
      <c r="D31" t="inlineStr">
        <is>
          <t>https://stockanalysis.com/stocks/etn/statistics/</t>
        </is>
      </c>
    </row>
    <row r="32">
      <c r="A32" t="n">
        <v>11</v>
      </c>
      <c r="B32" s="39" t="inlineStr">
        <is>
          <t>stockanalysis statistics: AAON</t>
        </is>
      </c>
      <c r="C32" t="inlineStr">
        <is>
          <t>2026-10-06</t>
        </is>
      </c>
      <c r="D32" t="inlineStr">
        <is>
          <t>https://stockanalysis.com/stocks/aaon/statistics/</t>
        </is>
      </c>
    </row>
    <row r="33">
      <c r="A33" t="n">
        <v>12</v>
      </c>
      <c r="B33" s="39" t="inlineStr">
        <is>
          <t>Modine Form 4 re Platinum SpinCo (filed 2026-10-05): 53,197,549 SpinCo shares distributed pro rata to Modine holders of record on Sep 28, 2026 (one SpinCo share per Modine share per the Oct-1 8-K)</t>
        </is>
      </c>
      <c r="C33" t="inlineStr">
        <is>
          <t>2026-10-05</t>
        </is>
      </c>
      <c r="D33" t="inlineStr">
        <is>
          <t>https://www.sec.gov/Archives/edgar/data/67347/000110465926113588/xslF345X06/tm2626713-4_4seq1.xml</t>
        </is>
      </c>
    </row>
    <row r="34">
      <c r="A34" t="n">
        <v>13</v>
      </c>
      <c r="B34" s="39" t="inlineStr">
        <is>
          <t>Modine to Host Analyst and Investor Day on November 18, 2026 (company press release, PR Newswire)</t>
        </is>
      </c>
      <c r="C34" t="inlineStr">
        <is>
          <t>2026-09-14</t>
        </is>
      </c>
      <c r="D34" t="inlineStr">
        <is>
          <t>https://www.prnewswire.com/news-releases/modine-to-host-analyst-and-investor-day-on-november-18-2026-302876675.html</t>
        </is>
      </c>
    </row>
    <row r="35">
      <c r="A35" t="n">
        <v>14</v>
      </c>
      <c r="B35" s="39" t="inlineStr">
        <is>
          <t>Modine 10-Q for the quarter ended 2026-06-30 (53,112,708 shares outstanding at Jul 24)</t>
        </is>
      </c>
      <c r="C35" t="inlineStr">
        <is>
          <t>2026-07-30</t>
        </is>
      </c>
      <c r="D35" t="inlineStr">
        <is>
          <t>https://www.sec.gov/Archives/edgar/data/67347/000110465926088569/mod-20260630x10q.htm</t>
        </is>
      </c>
    </row>
    <row r="36">
      <c r="A36" t="n">
        <v>15</v>
      </c>
      <c r="B36" s="39" t="inlineStr">
        <is>
          <t>Peers' SEC filings for derived multiples: XBRL company facts (VRT, NVT, AAON, TT, SPXC, CSWI, ETN, FIX, and FY2025 annual values for JCI, CARR, LII), e.g. data.sec.gov/api/xbrl/companyfacts/CIK&lt;cik&gt;.json</t>
        </is>
      </c>
      <c r="C36" t="inlineStr">
        <is>
          <t>2026-10-06</t>
        </is>
      </c>
      <c r="D36" t="inlineStr">
        <is>
          <t>https://data.sec.gov/api/xbrl/companyfacts/CIK0001674101.json</t>
        </is>
      </c>
    </row>
    <row r="37">
      <c r="A37" t="n">
        <v>16</v>
      </c>
      <c r="B37" s="39" t="inlineStr">
        <is>
          <t>Carrier 10-Q quarter ended 2026-06-30 (6M operating profit, D&amp;A, debt, cash, NCI, 824,325,057 shares)</t>
        </is>
      </c>
      <c r="C37" t="inlineStr">
        <is>
          <t>2026-07-28</t>
        </is>
      </c>
      <c r="D37" t="inlineStr">
        <is>
          <t>https://www.sec.gov/Archives/edgar/data/1783180/000178318026000032/carr-20260630.htm</t>
        </is>
      </c>
    </row>
    <row r="38">
      <c r="A38" t="n">
        <v>17</v>
      </c>
      <c r="B38" s="39" t="inlineStr">
        <is>
          <t>Lennox 10-Q quarter ended 2026-06-30 (6M operating income, D&amp;A, debt, cash, 34,560,675 shares)</t>
        </is>
      </c>
      <c r="C38" t="inlineStr">
        <is>
          <t>2026-07-29</t>
        </is>
      </c>
      <c r="D38" t="inlineStr">
        <is>
          <t>https://www.sec.gov/Archives/edgar/data/1069202/000106920226000087/lii-20260630.htm</t>
        </is>
      </c>
    </row>
    <row r="39">
      <c r="A39" t="n">
        <v>18</v>
      </c>
      <c r="B39" s="39" t="inlineStr">
        <is>
          <t>Johnson Controls 10-Q quarter ended 2026-06-30 (9M pre-tax income, net financing charges, D&amp;A, debt, cash, NCI, 605,741,470 shares)</t>
        </is>
      </c>
      <c r="C39" t="inlineStr">
        <is>
          <t>2026-07-29</t>
        </is>
      </c>
      <c r="D39" t="inlineStr">
        <is>
          <t>https://www.sec.gov/Archives/edgar/data/833444/000083344426000087/jci-20260630.htm</t>
        </is>
      </c>
    </row>
    <row r="40">
      <c r="A40" t="n">
        <v>19</v>
      </c>
      <c r="B40" s="39" t="inlineStr">
        <is>
          <t>Johnson Controls FY2025 10-K (net financing charges $319M)</t>
        </is>
      </c>
      <c r="C40" t="inlineStr">
        <is>
          <t>2025-11-14</t>
        </is>
      </c>
      <c r="D40" t="inlineStr">
        <is>
          <t>https://www.sec.gov/Archives/edgar/data/833444/000083344425000097/jci-20250930.htm</t>
        </is>
      </c>
    </row>
    <row r="41">
      <c r="A41" t="n">
        <v>20</v>
      </c>
      <c r="B41" s="39" t="inlineStr">
        <is>
          <t>Twelve Data daily closes 2026-10-05 for the ten peers and MOD; MOD 1-year daily closes (volatility)</t>
        </is>
      </c>
      <c r="C41" t="inlineStr">
        <is>
          <t>2026-10-05</t>
        </is>
      </c>
      <c r="D41" t="inlineStr">
        <is>
          <t>https://twelvedata.com/</t>
        </is>
      </c>
    </row>
    <row r="42">
      <c r="A42" t="n">
        <v>21</v>
      </c>
      <c r="B42" s="39" t="inlineStr">
        <is>
          <t>stockanalysis forecast pages (consensus EPS this year / next year) and statistics pages (3Y consensus revenue and EPS CAGR) for the ten peers</t>
        </is>
      </c>
      <c r="C42" t="inlineStr">
        <is>
          <t>2026-10-06</t>
        </is>
      </c>
      <c r="D42" t="inlineStr">
        <is>
          <t>https://stockanalysis.com/stocks/vrt/forecast/</t>
        </is>
      </c>
    </row>
    <row r="43">
      <c r="A43" t="n">
        <v>22</v>
      </c>
      <c r="B43" s="39" t="inlineStr">
        <is>
          <t>Modine 8-K 2025-10-28 (Q2 FY26 results released Oct 28, 2025; call Oct 29)</t>
        </is>
      </c>
      <c r="C43" t="inlineStr">
        <is>
          <t>2025-10-28</t>
        </is>
      </c>
      <c r="D43" t="inlineStr">
        <is>
          <t>https://www.sec.gov/Archives/edgar/data/67347/000110465925103221/mod-20251028x8k.htm</t>
        </is>
      </c>
    </row>
    <row r="44">
      <c r="A44" t="n">
        <v>23</v>
      </c>
      <c r="B44" s="39" t="inlineStr">
        <is>
          <t>Modine Q1 FY27 earnings call transcript (company IR PDF)</t>
        </is>
      </c>
      <c r="C44" t="inlineStr">
        <is>
          <t>2026-07-29</t>
        </is>
      </c>
      <c r="D44" t="inlineStr">
        <is>
          <t>https://s205.q4cdn.com/270741342/files/doc_financials/2027/q1/Modine_-Transcript-Q1-FY27.pdf</t>
        </is>
      </c>
    </row>
    <row r="45">
      <c r="A45" t="n">
        <v>24</v>
      </c>
      <c r="B45" s="39" t="inlineStr">
        <is>
          <t>Modine 8-K Ex.99.1, FY2024 results and first Fiscal 2025 outlook (net sales +5-10%, adj. EBITDA $365-385M)</t>
        </is>
      </c>
      <c r="C45" t="inlineStr">
        <is>
          <t>2024-05-21</t>
        </is>
      </c>
      <c r="D45" t="inlineStr">
        <is>
          <t>https://www.sec.gov/Archives/edgar/data/67347/000114036124027058/ef20029568_ex99-1.htm</t>
        </is>
      </c>
    </row>
    <row r="46">
      <c r="A46" t="n">
        <v>25</v>
      </c>
      <c r="B46" s="39" t="inlineStr">
        <is>
          <t>Modine 8-K Ex.99.1, FY2025 results (record adj. EBITDA $392.1M) and first Fiscal 2026 outlook (net sales +2-10%, adj. EBITDA $420-450M)</t>
        </is>
      </c>
      <c r="C46" t="inlineStr">
        <is>
          <t>2025-05-20</t>
        </is>
      </c>
      <c r="D46" t="inlineStr">
        <is>
          <t>https://www.sec.gov/Archives/edgar/data/67347/000155837025008029/tmb-20250520xex99d1.htm</t>
        </is>
      </c>
    </row>
    <row r="47">
      <c r="A47" t="n">
        <v>26</v>
      </c>
      <c r="B47" s="39" t="inlineStr">
        <is>
          <t>Modine 8-K Ex.99.1, FY2026 results (record adj. EBITDA $471.0M) and Fiscal 2027 outlook (net sales +20-35%, adj. EBITDA $650-680M, incl. PT)</t>
        </is>
      </c>
      <c r="C47" t="inlineStr">
        <is>
          <t>2026-05-26</t>
        </is>
      </c>
      <c r="D47" t="inlineStr">
        <is>
          <t>https://www.sec.gov/Archives/edgar/data/67347/000110465926066291/mod-20260526xex99d1.htm</t>
        </is>
      </c>
    </row>
    <row r="48">
      <c r="A48" t="n">
        <v>27</v>
      </c>
      <c r="B48" s="39" t="inlineStr">
        <is>
          <t>Modine transaction announcement presentation (8-K Ex.99.2): "Expecting 50-70% annual revenue growth over next two years, exceeding the previous $2 billion target for FY28" (Data Centers)</t>
        </is>
      </c>
      <c r="C48" t="inlineStr">
        <is>
          <t>2026-01-29</t>
        </is>
      </c>
      <c r="D48" t="inlineStr">
        <is>
          <t>https://www.sec.gov/Archives/edgar/data/67347/000110465926008087/mod-20260129xex99d2.htm</t>
        </is>
      </c>
    </row>
    <row r="49">
      <c r="A49" t="n">
        <v>28</v>
      </c>
      <c r="B49" s="39" t="inlineStr">
        <is>
          <t>Yahoo Finance chart feed, last close 2026-10-23 for the nine US peers (peers.py price ids, runs/2026-10-23/MOD/peers.json)</t>
        </is>
      </c>
      <c r="C49" t="inlineStr">
        <is>
          <t>2026-10-26</t>
        </is>
      </c>
      <c r="D49" t="inlineStr">
        <is>
          <t>https://query1.finance.yahoo.com/v8/finance/chart/VRT?range=5d&amp;interval=1d</t>
        </is>
      </c>
    </row>
    <row r="50">
      <c r="A50" t="n">
        <v>29</v>
      </c>
      <c r="B50" s="39" t="inlineStr">
        <is>
          <t>Nasdaq.com analyst earnings forecast, Zacks consensus EPS by fiscal year: VRT (snapshot data/estimates/VRT.json, retrieved 2026-10-26)</t>
        </is>
      </c>
      <c r="C50" t="inlineStr">
        <is>
          <t>2026-10-26</t>
        </is>
      </c>
      <c r="D50" t="inlineStr">
        <is>
          <t>https://api.nasdaq.com/api/analyst/VRT/earnings-forecast</t>
        </is>
      </c>
    </row>
    <row r="51">
      <c r="A51" t="n">
        <v>30</v>
      </c>
      <c r="B51" s="39" t="inlineStr">
        <is>
          <t>Nasdaq.com analyst earnings forecast, Zacks consensus EPS by fiscal year: NVT (snapshot data/estimates/NVT.json, retrieved 2026-10-26)</t>
        </is>
      </c>
      <c r="C51" t="inlineStr">
        <is>
          <t>2026-10-26</t>
        </is>
      </c>
      <c r="D51" t="inlineStr">
        <is>
          <t>https://api.nasdaq.com/api/analyst/NVT/earnings-forecast</t>
        </is>
      </c>
    </row>
    <row r="52">
      <c r="A52" t="n">
        <v>31</v>
      </c>
      <c r="B52" s="39" t="inlineStr">
        <is>
          <t>Nasdaq.com analyst earnings forecast, Zacks consensus EPS by fiscal year: AAON (snapshot data/estimates/AAON.json, retrieved 2026-10-26)</t>
        </is>
      </c>
      <c r="C52" t="inlineStr">
        <is>
          <t>2026-10-26</t>
        </is>
      </c>
      <c r="D52" t="inlineStr">
        <is>
          <t>https://api.nasdaq.com/api/analyst/AAON/earnings-forecast</t>
        </is>
      </c>
    </row>
    <row r="53">
      <c r="A53" t="n">
        <v>32</v>
      </c>
      <c r="B53" s="39" t="inlineStr">
        <is>
          <t>Nasdaq.com analyst earnings forecast, Zacks consensus EPS by fiscal year: TT (snapshot data/estimates/TT.json, retrieved 2026-10-26)</t>
        </is>
      </c>
      <c r="C53" t="inlineStr">
        <is>
          <t>2026-10-26</t>
        </is>
      </c>
      <c r="D53" t="inlineStr">
        <is>
          <t>https://api.nasdaq.com/api/analyst/TT/earnings-forecast</t>
        </is>
      </c>
    </row>
    <row r="54">
      <c r="A54" t="n">
        <v>33</v>
      </c>
      <c r="B54" s="39" t="inlineStr">
        <is>
          <t>Nasdaq.com analyst earnings forecast, Zacks consensus EPS by fiscal year: JCI (snapshot data/estimates/JCI.json, retrieved 2026-10-26)</t>
        </is>
      </c>
      <c r="C54" t="inlineStr">
        <is>
          <t>2026-10-26</t>
        </is>
      </c>
      <c r="D54" t="inlineStr">
        <is>
          <t>https://api.nasdaq.com/api/analyst/JCI/earnings-forecast</t>
        </is>
      </c>
    </row>
    <row r="55">
      <c r="A55" t="n">
        <v>34</v>
      </c>
      <c r="B55" s="39" t="inlineStr">
        <is>
          <t>Nasdaq.com analyst earnings forecast, Zacks consensus EPS by fiscal year: CARR (snapshot data/estimates/CARR.json, retrieved 2026-10-26)</t>
        </is>
      </c>
      <c r="C55" t="inlineStr">
        <is>
          <t>2026-10-26</t>
        </is>
      </c>
      <c r="D55" t="inlineStr">
        <is>
          <t>https://api.nasdaq.com/api/analyst/CARR/earnings-forecast</t>
        </is>
      </c>
    </row>
    <row r="56">
      <c r="A56" t="n">
        <v>35</v>
      </c>
      <c r="B56" s="39" t="inlineStr">
        <is>
          <t>Nasdaq.com analyst earnings forecast, Zacks consensus EPS by fiscal year: SPXC (snapshot data/estimates/SPXC.json, retrieved 2026-10-26)</t>
        </is>
      </c>
      <c r="C56" t="inlineStr">
        <is>
          <t>2026-10-26</t>
        </is>
      </c>
      <c r="D56" t="inlineStr">
        <is>
          <t>https://api.nasdaq.com/api/analyst/SPXC/earnings-forecast</t>
        </is>
      </c>
    </row>
    <row r="57">
      <c r="A57" t="n">
        <v>36</v>
      </c>
      <c r="B57" s="39" t="inlineStr">
        <is>
          <t>Nasdaq.com analyst earnings forecast, Zacks consensus EPS by fiscal year: CSW (snapshot data/estimates/CSW.json, retrieved 2026-10-26)</t>
        </is>
      </c>
      <c r="C57" t="inlineStr">
        <is>
          <t>2026-10-26</t>
        </is>
      </c>
      <c r="D57" t="inlineStr">
        <is>
          <t>https://api.nasdaq.com/api/analyst/CSW/earnings-forecast</t>
        </is>
      </c>
    </row>
    <row r="58">
      <c r="A58" t="n">
        <v>37</v>
      </c>
      <c r="B58" s="39" t="inlineStr">
        <is>
          <t>Nasdaq.com analyst earnings forecast, Zacks consensus EPS by fiscal year: ETN (snapshot data/estimates/ETN.json, retrieved 2026-10-26)</t>
        </is>
      </c>
      <c r="C58" t="inlineStr">
        <is>
          <t>2026-10-26</t>
        </is>
      </c>
      <c r="D58" t="inlineStr">
        <is>
          <t>https://api.nasdaq.com/api/analyst/ETN/earnings-forecast</t>
        </is>
      </c>
    </row>
    <row r="59">
      <c r="A59" t="n">
        <v>38</v>
      </c>
      <c r="B59" s="39" t="inlineStr">
        <is>
          <t>Nasdaq.com earnings surprise (Zacks reported quarterly EPS): VRT; latest quarter equals the company adjusted EPS</t>
        </is>
      </c>
      <c r="C59" t="inlineStr">
        <is>
          <t>2026-10-26</t>
        </is>
      </c>
      <c r="D59" t="inlineStr">
        <is>
          <t>https://api.nasdaq.com/api/company/VRT/earnings-surprise</t>
        </is>
      </c>
    </row>
    <row r="60">
      <c r="A60" t="n">
        <v>39</v>
      </c>
      <c r="B60" s="39" t="inlineStr">
        <is>
          <t>Nasdaq.com earnings surprise (Zacks reported quarterly EPS): NVT; latest quarter equals the company adjusted EPS</t>
        </is>
      </c>
      <c r="C60" t="inlineStr">
        <is>
          <t>2026-10-26</t>
        </is>
      </c>
      <c r="D60" t="inlineStr">
        <is>
          <t>https://api.nasdaq.com/api/company/NVT/earnings-surprise</t>
        </is>
      </c>
    </row>
    <row r="61">
      <c r="A61" t="n">
        <v>40</v>
      </c>
      <c r="B61" s="39" t="inlineStr">
        <is>
          <t>Nasdaq.com earnings surprise (Zacks reported quarterly EPS): AAON; latest quarter equals the company adjusted EPS</t>
        </is>
      </c>
      <c r="C61" t="inlineStr">
        <is>
          <t>2026-10-26</t>
        </is>
      </c>
      <c r="D61" t="inlineStr">
        <is>
          <t>https://api.nasdaq.com/api/company/AAON/earnings-surprise</t>
        </is>
      </c>
    </row>
    <row r="62">
      <c r="A62" t="n">
        <v>41</v>
      </c>
      <c r="B62" s="39" t="inlineStr">
        <is>
          <t>Nasdaq.com earnings surprise (Zacks reported quarterly EPS): TT; latest quarter equals the company adjusted EPS</t>
        </is>
      </c>
      <c r="C62" t="inlineStr">
        <is>
          <t>2026-10-26</t>
        </is>
      </c>
      <c r="D62" t="inlineStr">
        <is>
          <t>https://api.nasdaq.com/api/company/TT/earnings-surprise</t>
        </is>
      </c>
    </row>
    <row r="63">
      <c r="A63" t="n">
        <v>42</v>
      </c>
      <c r="B63" s="39" t="inlineStr">
        <is>
          <t>Nasdaq.com earnings surprise (Zacks reported quarterly EPS): JCI; latest quarter equals the company adjusted EPS</t>
        </is>
      </c>
      <c r="C63" t="inlineStr">
        <is>
          <t>2026-10-26</t>
        </is>
      </c>
      <c r="D63" t="inlineStr">
        <is>
          <t>https://api.nasdaq.com/api/company/JCI/earnings-surprise</t>
        </is>
      </c>
    </row>
    <row r="64">
      <c r="A64" t="n">
        <v>43</v>
      </c>
      <c r="B64" s="39" t="inlineStr">
        <is>
          <t>Nasdaq.com earnings surprise (Zacks reported quarterly EPS): CARR; latest quarter equals the company adjusted EPS</t>
        </is>
      </c>
      <c r="C64" t="inlineStr">
        <is>
          <t>2026-10-26</t>
        </is>
      </c>
      <c r="D64" t="inlineStr">
        <is>
          <t>https://api.nasdaq.com/api/company/CARR/earnings-surprise</t>
        </is>
      </c>
    </row>
    <row r="65">
      <c r="A65" t="n">
        <v>44</v>
      </c>
      <c r="B65" s="39" t="inlineStr">
        <is>
          <t>Nasdaq.com earnings surprise (Zacks reported quarterly EPS): SPXC; latest quarter equals the company adjusted EPS</t>
        </is>
      </c>
      <c r="C65" t="inlineStr">
        <is>
          <t>2026-10-26</t>
        </is>
      </c>
      <c r="D65" t="inlineStr">
        <is>
          <t>https://api.nasdaq.com/api/company/SPXC/earnings-surprise</t>
        </is>
      </c>
    </row>
    <row r="66">
      <c r="A66" t="n">
        <v>45</v>
      </c>
      <c r="B66" s="39" t="inlineStr">
        <is>
          <t>Nasdaq.com earnings surprise (Zacks reported quarterly EPS): CSW; latest quarter equals the company adjusted EPS</t>
        </is>
      </c>
      <c r="C66" t="inlineStr">
        <is>
          <t>2026-10-26</t>
        </is>
      </c>
      <c r="D66" t="inlineStr">
        <is>
          <t>https://api.nasdaq.com/api/company/CSW/earnings-surprise</t>
        </is>
      </c>
    </row>
    <row r="67">
      <c r="A67" t="n">
        <v>46</v>
      </c>
      <c r="B67" s="39" t="inlineStr">
        <is>
          <t>Nasdaq.com earnings surprise (Zacks reported quarterly EPS): ETN; latest quarter equals the company adjusted EPS</t>
        </is>
      </c>
      <c r="C67" t="inlineStr">
        <is>
          <t>2026-10-26</t>
        </is>
      </c>
      <c r="D67" t="inlineStr">
        <is>
          <t>https://api.nasdaq.com/api/company/ETN/earnings-surprise</t>
        </is>
      </c>
    </row>
    <row r="68">
      <c r="A68" t="n">
        <v>47</v>
      </c>
      <c r="B68" s="39" t="inlineStr">
        <is>
          <t>VRT latest earnings release (8-K Ex.99.1, 2026): adjusted EPS reconciliation (what it excludes; stock comp not added back)</t>
        </is>
      </c>
      <c r="C68" t="inlineStr">
        <is>
          <t>2026-07-31</t>
        </is>
      </c>
      <c r="D68" t="inlineStr">
        <is>
          <t>https://www.sec.gov/Archives/edgar/data/1674101/000162828026050323/q22026exhibit991vrt07292026.htm</t>
        </is>
      </c>
    </row>
    <row r="69">
      <c r="A69" t="n">
        <v>48</v>
      </c>
      <c r="B69" s="39" t="inlineStr">
        <is>
          <t>NVT latest earnings release (8-K Ex.99.1, 2026): adjusted EPS reconciliation (what it excludes; stock comp not added back)</t>
        </is>
      </c>
      <c r="C69" t="inlineStr">
        <is>
          <t>2026-07-31</t>
        </is>
      </c>
      <c r="D69" t="inlineStr">
        <is>
          <t>https://www.sec.gov/Archives/edgar/data/1720635/000162828026051203/q22026nvtpressrelease.htm</t>
        </is>
      </c>
    </row>
    <row r="70">
      <c r="A70" t="n">
        <v>49</v>
      </c>
      <c r="B70" s="39" t="inlineStr">
        <is>
          <t>AAON latest earnings release (8-K Ex.99.1, 2026): adjusted EPS reconciliation (what it excludes; stock comp not added back)</t>
        </is>
      </c>
      <c r="C70" t="inlineStr">
        <is>
          <t>2026-07-31</t>
        </is>
      </c>
      <c r="D70" t="inlineStr">
        <is>
          <t>https://www.sec.gov/Archives/edgar/data/824142/000082414226000052/liveaaonpressreleaseexs.htm</t>
        </is>
      </c>
    </row>
    <row r="71">
      <c r="A71" t="n">
        <v>50</v>
      </c>
      <c r="B71" s="39" t="inlineStr">
        <is>
          <t>TT latest earnings release (8-K Ex.99.1, 2026): adjusted EPS reconciliation (what it excludes; stock comp not added back)</t>
        </is>
      </c>
      <c r="C71" t="inlineStr">
        <is>
          <t>2026-07-31</t>
        </is>
      </c>
      <c r="D71" t="inlineStr">
        <is>
          <t>https://www.sec.gov/Archives/edgar/data/1466258/000162828026050743/exhibit991-q22026earningsr.htm</t>
        </is>
      </c>
    </row>
    <row r="72">
      <c r="A72" t="n">
        <v>51</v>
      </c>
      <c r="B72" s="39" t="inlineStr">
        <is>
          <t>JCI latest earnings release (8-K Ex.99.1, 2026): adjusted EPS reconciliation (what it excludes; stock comp not added back)</t>
        </is>
      </c>
      <c r="C72" t="inlineStr">
        <is>
          <t>2026-07-31</t>
        </is>
      </c>
      <c r="D72" t="inlineStr">
        <is>
          <t>https://www.sec.gov/Archives/edgar/data/833444/000083344426000083/q3ex991xq3fy26earningsrele.htm</t>
        </is>
      </c>
    </row>
    <row r="73">
      <c r="A73" t="n">
        <v>52</v>
      </c>
      <c r="B73" s="39" t="inlineStr">
        <is>
          <t>CARR latest earnings release (8-K Ex.99.1, 2026): adjusted EPS reconciliation (what it excludes; stock comp not added back)</t>
        </is>
      </c>
      <c r="C73" t="inlineStr">
        <is>
          <t>2026-07-31</t>
        </is>
      </c>
      <c r="D73" t="inlineStr">
        <is>
          <t>https://www.sec.gov/Archives/edgar/data/1783180/000178318026000030/a99-q22026earningsexhibit.htm</t>
        </is>
      </c>
    </row>
    <row r="74">
      <c r="A74" t="n">
        <v>53</v>
      </c>
      <c r="B74" s="39" t="inlineStr">
        <is>
          <t>SPXC latest earnings release (8-K Ex.99.1, 2026): adjusted EPS reconciliation (what it excludes; stock comp not added back)</t>
        </is>
      </c>
      <c r="C74" t="inlineStr">
        <is>
          <t>2026-07-31</t>
        </is>
      </c>
      <c r="D74" t="inlineStr">
        <is>
          <t>https://www.sec.gov/Archives/edgar/data/88205/000008820526000052/q22026pressrelease.htm</t>
        </is>
      </c>
    </row>
    <row r="75">
      <c r="A75" t="n">
        <v>54</v>
      </c>
      <c r="B75" s="39" t="inlineStr">
        <is>
          <t>CSW latest earnings release (8-K Ex.99.1, 2026): adjusted EPS reconciliation (what it excludes; stock comp not added back)</t>
        </is>
      </c>
      <c r="C75" t="inlineStr">
        <is>
          <t>2026-07-31</t>
        </is>
      </c>
      <c r="D75" t="inlineStr">
        <is>
          <t>https://www.sec.gov/Archives/edgar/data/1624794/000162479426000048/er_q12027.htm</t>
        </is>
      </c>
    </row>
    <row r="76">
      <c r="A76" t="n">
        <v>55</v>
      </c>
      <c r="B76" s="39" t="inlineStr">
        <is>
          <t>ETN latest earnings release (8-K Ex.99.1, 2026): adjusted EPS reconciliation (what it excludes; stock comp not added back)</t>
        </is>
      </c>
      <c r="C76" t="inlineStr">
        <is>
          <t>2026-07-31</t>
        </is>
      </c>
      <c r="D76" t="inlineStr">
        <is>
          <t>https://www.sec.gov/Archives/edgar/data/1551182/000155118226000027/etn06302026exhibit99.htm</t>
        </is>
      </c>
    </row>
    <row r="77">
      <c r="A77" t="n">
        <v>56</v>
      </c>
      <c r="B77" s="39" t="inlineStr">
        <is>
          <t>MarketScreener finances page VRT: consensus EBITDA by year, net debt, share count, last close 2026-10-23</t>
        </is>
      </c>
      <c r="C77" t="inlineStr">
        <is>
          <t>2026-10-26</t>
        </is>
      </c>
      <c r="D77" t="inlineStr">
        <is>
          <t>https://www.marketscreener.com/quote/stock/VERTIV-HOLDINGS-CO-45109447/finances/</t>
        </is>
      </c>
    </row>
    <row r="78">
      <c r="A78" t="n">
        <v>57</v>
      </c>
      <c r="B78" s="39" t="inlineStr">
        <is>
          <t>MarketScreener finances page NVT: consensus EBITDA by year, net debt, share count, last close 2026-10-23</t>
        </is>
      </c>
      <c r="C78" t="inlineStr">
        <is>
          <t>2026-10-26</t>
        </is>
      </c>
      <c r="D78" t="inlineStr">
        <is>
          <t>https://www.marketscreener.com/quote/stock/NVENT-ELECTRIC-PLC-42779053/finances/</t>
        </is>
      </c>
    </row>
    <row r="79">
      <c r="A79" t="n">
        <v>58</v>
      </c>
      <c r="B79" s="39" t="inlineStr">
        <is>
          <t>MarketScreener finances page AAON: consensus EBITDA by year, net debt, share count, last close 2026-10-23</t>
        </is>
      </c>
      <c r="C79" t="inlineStr">
        <is>
          <t>2026-10-26</t>
        </is>
      </c>
      <c r="D79" t="inlineStr">
        <is>
          <t>https://www.marketscreener.com/quote/stock/AAON-INC-8199/finances/</t>
        </is>
      </c>
    </row>
    <row r="80">
      <c r="A80" t="n">
        <v>59</v>
      </c>
      <c r="B80" s="39" t="inlineStr">
        <is>
          <t>MarketScreener finances page TT: consensus EBITDA by year, net debt, share count, last close 2026-10-23</t>
        </is>
      </c>
      <c r="C80" t="inlineStr">
        <is>
          <t>2026-10-26</t>
        </is>
      </c>
      <c r="D80" t="inlineStr">
        <is>
          <t>https://www.marketscreener.com/quote/stock/TRANE-TECHNOLOGIES-PLC-13109/finances/</t>
        </is>
      </c>
    </row>
    <row r="81">
      <c r="A81" t="n">
        <v>60</v>
      </c>
      <c r="B81" s="39" t="inlineStr">
        <is>
          <t>MarketScreener finances page JCI: consensus EBITDA by year, net debt, share count, last close 2026-10-23</t>
        </is>
      </c>
      <c r="C81" t="inlineStr">
        <is>
          <t>2026-10-26</t>
        </is>
      </c>
      <c r="D81" t="inlineStr">
        <is>
          <t>https://www.marketscreener.com/quote/stock/JOHNSON-CONTROLS-INTERNAT-31222816/finances/</t>
        </is>
      </c>
    </row>
    <row r="82">
      <c r="A82" t="n">
        <v>61</v>
      </c>
      <c r="B82" s="39" t="inlineStr">
        <is>
          <t>MarketScreener finances page CARR: consensus EBITDA by year, net debt, share count, last close 2026-10-23</t>
        </is>
      </c>
      <c r="C82" t="inlineStr">
        <is>
          <t>2026-10-26</t>
        </is>
      </c>
      <c r="D82" t="inlineStr">
        <is>
          <t>https://www.marketscreener.com/quote/stock/CARRIER-GLOBAL-CORPORATIO-105026688/finances/</t>
        </is>
      </c>
    </row>
    <row r="83">
      <c r="A83" t="n">
        <v>62</v>
      </c>
      <c r="B83" s="39" t="inlineStr">
        <is>
          <t>MarketScreener finances page SPXC: consensus EBITDA by year, net debt, share count, last close 2026-10-23</t>
        </is>
      </c>
      <c r="C83" t="inlineStr">
        <is>
          <t>2026-10-26</t>
        </is>
      </c>
      <c r="D83" t="inlineStr">
        <is>
          <t>https://www.marketscreener.com/quote/stock/SPX-TECHNOLOGIES-INC-14462/finances/</t>
        </is>
      </c>
    </row>
    <row r="84">
      <c r="A84" t="n">
        <v>63</v>
      </c>
      <c r="B84" s="39" t="inlineStr">
        <is>
          <t>MarketScreener finances page CSW: consensus EBITDA by year, net debt, share count, last close 2026-10-23</t>
        </is>
      </c>
      <c r="C84" t="inlineStr">
        <is>
          <t>2026-10-26</t>
        </is>
      </c>
      <c r="D84" t="inlineStr">
        <is>
          <t>https://www.marketscreener.com/quote/stock/CSW-INDUSTRIALS-INC-23733723/finances/</t>
        </is>
      </c>
    </row>
    <row r="85">
      <c r="A85" t="n">
        <v>64</v>
      </c>
      <c r="B85" s="39" t="inlineStr">
        <is>
          <t>MarketScreener finances page ETN: consensus EBITDA by year, net debt, share count, last close 2026-10-23</t>
        </is>
      </c>
      <c r="C85" t="inlineStr">
        <is>
          <t>2026-10-26</t>
        </is>
      </c>
      <c r="D85" t="inlineStr">
        <is>
          <t>https://www.marketscreener.com/quote/stock/EATON-CORPORATION-PLC-12029421/finances/</t>
        </is>
      </c>
    </row>
    <row r="86">
      <c r="A86" t="n">
        <v>65</v>
      </c>
      <c r="B86" s="39" t="inlineStr">
        <is>
          <t>MarketScreener finances page MTRS.ST: consensus EBITDA by year, net debt, share count, last close 2026-10-23</t>
        </is>
      </c>
      <c r="C86" t="inlineStr">
        <is>
          <t>2026-10-26</t>
        </is>
      </c>
      <c r="D86" t="inlineStr">
        <is>
          <t>https://www.marketscreener.com/quote/stock/MUNTERS-GROUP-AB-34973373/finances/</t>
        </is>
      </c>
    </row>
    <row r="87">
      <c r="A87" t="n">
        <v>66</v>
      </c>
      <c r="B87" s="39" t="inlineStr">
        <is>
          <t>MarketScreener finances page ALFA.ST: consensus EBITDA by year, net debt, share count, last close 2026-10-23</t>
        </is>
      </c>
      <c r="C87" t="inlineStr">
        <is>
          <t>2026-10-26</t>
        </is>
      </c>
      <c r="D87" t="inlineStr">
        <is>
          <t>https://www.marketscreener.com/quote/stock/ALFA-LAVAL-AB-6494532/finances/</t>
        </is>
      </c>
    </row>
    <row r="88">
      <c r="A88" t="n">
        <v>67</v>
      </c>
      <c r="B88" s="39" t="inlineStr">
        <is>
          <t>MarketScreener finances page 6367.T: consensus EBITDA by year, net debt, share count, last close 2026-10-23</t>
        </is>
      </c>
      <c r="C88" t="inlineStr">
        <is>
          <t>2026-10-26</t>
        </is>
      </c>
      <c r="D88" t="inlineStr">
        <is>
          <t>https://www.marketscreener.com/quote/stock/DAIKIN-INDUSTRIES-LTD-6491221/finances/</t>
        </is>
      </c>
    </row>
    <row r="89">
      <c r="A89" t="n">
        <v>68</v>
      </c>
      <c r="B89" s="39" t="inlineStr">
        <is>
          <t>MarketScreener, Munters Group valuation (EV 2026 SEK 30,155M = cap 23,995M at 131.45 SEK + net debt 6,160M)</t>
        </is>
      </c>
      <c r="C89" t="inlineStr">
        <is>
          <t>2026-10-26</t>
        </is>
      </c>
      <c r="D89" t="inlineStr">
        <is>
          <t>https://www.marketscreener.com/quote/stock/MUNTERS-GROUP-AB-34973373/valuation/</t>
        </is>
      </c>
    </row>
    <row r="90">
      <c r="A90" t="n">
        <v>69</v>
      </c>
      <c r="B90" s="39" t="inlineStr">
        <is>
          <t>CSW Industrials: Nasdaq-to-NYSE listing transfer, ticker CSWI -&gt; CSW (trading from 2025-06-09)</t>
        </is>
      </c>
      <c r="C90" t="inlineStr">
        <is>
          <t>2025-04-30</t>
        </is>
      </c>
      <c r="D90" t="inlineStr">
        <is>
          <t>https://seekingalpha.com/pr/20082498-csw-industrials-announces-transfer-of-listing-of-common-stock-to-the-new-york-stock-exchange</t>
        </is>
      </c>
    </row>
    <row r="91">
      <c r="A91" t="n">
        <v>70</v>
      </c>
      <c r="B91" s="39" t="inlineStr">
        <is>
          <t>Alfa Laval Q4 and full year 2025 report: EPS 2025 SEK 20.01 (reported); Note 8 net debt incl. lease liabilities 13,179 = 9,384 excl. leases + lease liabilities 3,795; amortization of lease liabilities 2025 SEK -503M</t>
        </is>
      </c>
      <c r="C91" t="inlineStr">
        <is>
          <t>2026-02-03</t>
        </is>
      </c>
      <c r="D91" t="inlineStr">
        <is>
          <t>https://www.alfalaval.com/contentassets/7be9ef28760e461c918b66445b4b65eb/wkr0006.pdf</t>
        </is>
      </c>
    </row>
    <row r="92">
      <c r="A92" t="n">
        <v>71</v>
      </c>
      <c r="B92" s="39" t="inlineStr">
        <is>
          <t>StockAnalysis, Daikin income statement (FY3/26 net income 275,229M JPY, basic EPS 939.92 JPY, JGAAP; amortization of goodwill &amp; intangibles 51,371M JPY)</t>
        </is>
      </c>
      <c r="C92" t="inlineStr">
        <is>
          <t>2026-10-26</t>
        </is>
      </c>
      <c r="D92" t="inlineStr">
        <is>
          <t>https://stockanalysis.com/quote/tyo/6367/financials/income-statement/</t>
        </is>
      </c>
    </row>
    <row r="93">
      <c r="A93" t="n">
        <v>72</v>
      </c>
      <c r="B93" s="39" t="inlineStr">
        <is>
          <t>Modine 8-K/A Ex.99.1 (filed 2026-10-07): unaudited pro forma condensed combined financial information after the PT spin; 2026-06-30 pro forma debt 43.4 + 276.0, cash 54.1</t>
        </is>
      </c>
      <c r="C93" t="inlineStr">
        <is>
          <t>2026-10-07</t>
        </is>
      </c>
      <c r="D93" t="inlineStr">
        <is>
          <t>https://www.sec.gov/Archives/edgar/data/67347/000110465926114220/mod-ex99d1.htm</t>
        </is>
      </c>
    </row>
    <row r="94">
      <c r="A94" t="n">
        <v>73</v>
      </c>
      <c r="B94" s="39" t="inlineStr">
        <is>
          <t>MarketScreener finances page MOD: consensus EBITDA FY3/26 471, FY3/27 573.8, FY3/28 839; net debt FY3/27 96; 53,113k shares; close 133.34 on 2026-10-23</t>
        </is>
      </c>
      <c r="C94" t="inlineStr">
        <is>
          <t>2026-10-26</t>
        </is>
      </c>
      <c r="D94" t="inlineStr">
        <is>
          <t>https://www.marketscreener.com/quote/stock/MODINE-MANUFACTURING-COMP-13585/finances/</t>
        </is>
      </c>
    </row>
    <row r="95">
      <c r="A95" t="n">
        <v>74</v>
      </c>
      <c r="B95" s="39" t="inlineStr">
        <is>
          <t>Nasdaq.com analyst earnings forecast (Zacks consensus EPS) MOD: FY3/27 7.02, FY3/28 9.76</t>
        </is>
      </c>
      <c r="C95" t="inlineStr">
        <is>
          <t>2026-10-26</t>
        </is>
      </c>
      <c r="D95" t="inlineStr">
        <is>
          <t>https://api.nasdaq.com/api/analyst/MOD/earnings-forecast</t>
        </is>
      </c>
    </row>
    <row r="97">
      <c r="A97" s="3" t="inlineStr">
        <is>
          <t>Fact id</t>
        </is>
      </c>
      <c r="B97" s="3" t="inlineStr">
        <is>
          <t>Figure</t>
        </is>
      </c>
      <c r="C97" s="3" t="inlineStr">
        <is>
          <t>Value</t>
        </is>
      </c>
      <c r="D97" s="3" t="inlineStr">
        <is>
          <t>Filing</t>
        </is>
      </c>
    </row>
    <row r="98">
      <c r="A98" t="inlineStr">
        <is>
          <t>F1</t>
        </is>
      </c>
      <c r="B98" t="inlineStr">
        <is>
          <t>revenue FY ending 2024-03-31 (us-gaap:RevenueFromContractWithCustomerExcludingAssessedTax)</t>
        </is>
      </c>
      <c r="C98" s="45" t="n">
        <v>2407800000</v>
      </c>
      <c r="D98" t="inlineStr">
        <is>
          <t>https://www.sec.gov/Archives/edgar/data/67347/000110465926066795/</t>
        </is>
      </c>
    </row>
    <row r="99">
      <c r="A99" t="inlineStr">
        <is>
          <t>F2</t>
        </is>
      </c>
      <c r="B99" t="inlineStr">
        <is>
          <t>revenue FY ending 2025-03-31 (us-gaap:RevenueFromContractWithCustomerExcludingAssessedTax)</t>
        </is>
      </c>
      <c r="C99" s="45" t="n">
        <v>2583500000</v>
      </c>
      <c r="D99" t="inlineStr">
        <is>
          <t>https://www.sec.gov/Archives/edgar/data/67347/000110465926066795/</t>
        </is>
      </c>
    </row>
    <row r="100">
      <c r="A100" t="inlineStr">
        <is>
          <t>F3</t>
        </is>
      </c>
      <c r="B100" t="inlineStr">
        <is>
          <t>revenue FY ending 2026-03-31 (us-gaap:RevenueFromContractWithCustomerExcludingAssessedTax)</t>
        </is>
      </c>
      <c r="C100" s="45" t="n">
        <v>3181100000</v>
      </c>
      <c r="D100" t="inlineStr">
        <is>
          <t>https://www.sec.gov/Archives/edgar/data/67347/000110465926066795/</t>
        </is>
      </c>
    </row>
    <row r="101">
      <c r="A101" t="inlineStr">
        <is>
          <t>F4</t>
        </is>
      </c>
      <c r="B101" t="inlineStr">
        <is>
          <t>revenue YTD 2026-04-01 to 2026-06-30</t>
        </is>
      </c>
      <c r="C101" s="45" t="n">
        <v>874100000</v>
      </c>
      <c r="D101" t="inlineStr">
        <is>
          <t>https://www.sec.gov/Archives/edgar/data/67347/000110465926088569/</t>
        </is>
      </c>
    </row>
    <row r="102">
      <c r="A102" t="inlineStr">
        <is>
          <t>F5</t>
        </is>
      </c>
      <c r="B102" t="inlineStr">
        <is>
          <t>revenue prior-year YTD 2025-04-01 to 2025-06-30</t>
        </is>
      </c>
      <c r="C102" s="45" t="n">
        <v>682800000</v>
      </c>
      <c r="D102" t="inlineStr">
        <is>
          <t>https://www.sec.gov/Archives/edgar/data/67347/000110465926088569/</t>
        </is>
      </c>
    </row>
    <row r="103">
      <c r="A103" t="inlineStr">
        <is>
          <t>F6</t>
        </is>
      </c>
      <c r="B103" t="inlineStr">
        <is>
          <t>revenue TTM to 2026-06-30</t>
        </is>
      </c>
      <c r="C103" s="45" t="n">
        <v>3372400000</v>
      </c>
    </row>
    <row r="104">
      <c r="A104" t="inlineStr">
        <is>
          <t>F7</t>
        </is>
      </c>
      <c r="B104" t="inlineStr">
        <is>
          <t>revenue quarter 2026-04-01 to 2026-06-30</t>
        </is>
      </c>
      <c r="C104" s="45" t="n">
        <v>874100000</v>
      </c>
      <c r="D104" t="inlineStr">
        <is>
          <t>https://www.sec.gov/Archives/edgar/data/67347/000110465926088569/</t>
        </is>
      </c>
    </row>
    <row r="105">
      <c r="A105" t="inlineStr">
        <is>
          <t>F8</t>
        </is>
      </c>
      <c r="B105" t="inlineStr">
        <is>
          <t>operating_income FY ending 2024-03-31 (us-gaap:OperatingIncomeLoss)</t>
        </is>
      </c>
      <c r="C105" s="45" t="n">
        <v>240700000</v>
      </c>
      <c r="D105" t="inlineStr">
        <is>
          <t>https://www.sec.gov/Archives/edgar/data/67347/000110465926066795/</t>
        </is>
      </c>
    </row>
    <row r="106">
      <c r="A106" t="inlineStr">
        <is>
          <t>F9</t>
        </is>
      </c>
      <c r="B106" t="inlineStr">
        <is>
          <t>operating_income FY ending 2025-03-31 (us-gaap:OperatingIncomeLoss)</t>
        </is>
      </c>
      <c r="C106" s="45" t="n">
        <v>283500000</v>
      </c>
      <c r="D106" t="inlineStr">
        <is>
          <t>https://www.sec.gov/Archives/edgar/data/67347/000110465926066795/</t>
        </is>
      </c>
    </row>
    <row r="107">
      <c r="A107" t="inlineStr">
        <is>
          <t>F10</t>
        </is>
      </c>
      <c r="B107" t="inlineStr">
        <is>
          <t>operating_income FY ending 2026-03-31 (us-gaap:OperatingIncomeLoss)</t>
        </is>
      </c>
      <c r="C107" s="45" t="n">
        <v>342400000</v>
      </c>
      <c r="D107" t="inlineStr">
        <is>
          <t>https://www.sec.gov/Archives/edgar/data/67347/000110465926066795/</t>
        </is>
      </c>
    </row>
    <row r="108">
      <c r="A108" t="inlineStr">
        <is>
          <t>F11</t>
        </is>
      </c>
      <c r="B108" t="inlineStr">
        <is>
          <t>operating_income YTD 2026-04-01 to 2026-06-30</t>
        </is>
      </c>
      <c r="C108" s="45" t="n">
        <v>74800000</v>
      </c>
      <c r="D108" t="inlineStr">
        <is>
          <t>https://www.sec.gov/Archives/edgar/data/67347/000110465926088569/</t>
        </is>
      </c>
    </row>
    <row r="109">
      <c r="A109" t="inlineStr">
        <is>
          <t>F12</t>
        </is>
      </c>
      <c r="B109" t="inlineStr">
        <is>
          <t>operating_income prior-year YTD 2025-04-01 to 2025-06-30</t>
        </is>
      </c>
      <c r="C109" s="45" t="n">
        <v>75700000</v>
      </c>
      <c r="D109" t="inlineStr">
        <is>
          <t>https://www.sec.gov/Archives/edgar/data/67347/000110465926088569/</t>
        </is>
      </c>
    </row>
    <row r="110">
      <c r="A110" t="inlineStr">
        <is>
          <t>F13</t>
        </is>
      </c>
      <c r="B110" t="inlineStr">
        <is>
          <t>operating_income TTM to 2026-06-30</t>
        </is>
      </c>
      <c r="C110" s="45" t="n">
        <v>341500000</v>
      </c>
    </row>
    <row r="111">
      <c r="A111" t="inlineStr">
        <is>
          <t>F14</t>
        </is>
      </c>
      <c r="B111" t="inlineStr">
        <is>
          <t>operating_income quarter 2026-04-01 to 2026-06-30</t>
        </is>
      </c>
      <c r="C111" s="45" t="n">
        <v>74800000</v>
      </c>
      <c r="D111" t="inlineStr">
        <is>
          <t>https://www.sec.gov/Archives/edgar/data/67347/000110465926088569/</t>
        </is>
      </c>
    </row>
    <row r="112">
      <c r="A112" t="inlineStr">
        <is>
          <t>F15</t>
        </is>
      </c>
      <c r="B112" t="inlineStr">
        <is>
          <t>net_income FY ending 2024-03-31 (us-gaap:NetIncomeLoss)</t>
        </is>
      </c>
      <c r="C112" s="45" t="n">
        <v>161500000</v>
      </c>
      <c r="D112" t="inlineStr">
        <is>
          <t>https://www.sec.gov/Archives/edgar/data/67347/000110465926066795/</t>
        </is>
      </c>
    </row>
    <row r="113">
      <c r="A113" t="inlineStr">
        <is>
          <t>F16</t>
        </is>
      </c>
      <c r="B113" t="inlineStr">
        <is>
          <t>net_income FY ending 2025-03-31 (us-gaap:NetIncomeLoss)</t>
        </is>
      </c>
      <c r="C113" s="45" t="n">
        <v>184000000</v>
      </c>
      <c r="D113" t="inlineStr">
        <is>
          <t>https://www.sec.gov/Archives/edgar/data/67347/000110465926066795/</t>
        </is>
      </c>
    </row>
    <row r="114">
      <c r="A114" t="inlineStr">
        <is>
          <t>F17</t>
        </is>
      </c>
      <c r="B114" t="inlineStr">
        <is>
          <t>net_income FY ending 2026-03-31 (us-gaap:NetIncomeLoss)</t>
        </is>
      </c>
      <c r="C114" s="45" t="n">
        <v>121500000</v>
      </c>
      <c r="D114" t="inlineStr">
        <is>
          <t>https://www.sec.gov/Archives/edgar/data/67347/000110465926066795/</t>
        </is>
      </c>
    </row>
    <row r="115">
      <c r="A115" t="inlineStr">
        <is>
          <t>F18</t>
        </is>
      </c>
      <c r="B115" t="inlineStr">
        <is>
          <t>net_income YTD 2026-04-01 to 2026-06-30</t>
        </is>
      </c>
      <c r="C115" s="45" t="n">
        <v>73900000</v>
      </c>
      <c r="D115" t="inlineStr">
        <is>
          <t>https://www.sec.gov/Archives/edgar/data/67347/000110465926088569/</t>
        </is>
      </c>
    </row>
    <row r="116">
      <c r="A116" t="inlineStr">
        <is>
          <t>F19</t>
        </is>
      </c>
      <c r="B116" t="inlineStr">
        <is>
          <t>net_income prior-year YTD 2025-04-01 to 2025-06-30</t>
        </is>
      </c>
      <c r="C116" s="45" t="n">
        <v>51200000</v>
      </c>
      <c r="D116" t="inlineStr">
        <is>
          <t>https://www.sec.gov/Archives/edgar/data/67347/000110465926088569/</t>
        </is>
      </c>
    </row>
    <row r="117">
      <c r="A117" t="inlineStr">
        <is>
          <t>F20</t>
        </is>
      </c>
      <c r="B117" t="inlineStr">
        <is>
          <t>net_income TTM to 2026-06-30</t>
        </is>
      </c>
      <c r="C117" s="45" t="n">
        <v>144200000</v>
      </c>
    </row>
    <row r="118">
      <c r="A118" t="inlineStr">
        <is>
          <t>F21</t>
        </is>
      </c>
      <c r="B118" t="inlineStr">
        <is>
          <t>net_income quarter 2026-04-01 to 2026-06-30</t>
        </is>
      </c>
      <c r="C118" s="45" t="n">
        <v>73900000</v>
      </c>
      <c r="D118" t="inlineStr">
        <is>
          <t>https://www.sec.gov/Archives/edgar/data/67347/000110465926088569/</t>
        </is>
      </c>
    </row>
    <row r="119">
      <c r="A119" t="inlineStr">
        <is>
          <t>F22</t>
        </is>
      </c>
      <c r="B119" t="inlineStr">
        <is>
          <t>eps_diluted FY ending 2024-03-31 (us-gaap:EarningsPerShareDiluted)</t>
        </is>
      </c>
      <c r="C119" s="45" t="n">
        <v>3.03</v>
      </c>
      <c r="D119" t="inlineStr">
        <is>
          <t>https://www.sec.gov/Archives/edgar/data/67347/000110465926066795/</t>
        </is>
      </c>
    </row>
    <row r="120">
      <c r="A120" t="inlineStr">
        <is>
          <t>F23</t>
        </is>
      </c>
      <c r="B120" t="inlineStr">
        <is>
          <t>eps_diluted FY ending 2025-03-31 (us-gaap:EarningsPerShareDiluted)</t>
        </is>
      </c>
      <c r="C120" s="45" t="n">
        <v>3.42</v>
      </c>
      <c r="D120" t="inlineStr">
        <is>
          <t>https://www.sec.gov/Archives/edgar/data/67347/000110465926066795/</t>
        </is>
      </c>
    </row>
    <row r="121">
      <c r="A121" t="inlineStr">
        <is>
          <t>F24</t>
        </is>
      </c>
      <c r="B121" t="inlineStr">
        <is>
          <t>eps_diluted FY ending 2026-03-31 (us-gaap:EarningsPerShareDiluted)</t>
        </is>
      </c>
      <c r="C121" s="45" t="n">
        <v>2.26</v>
      </c>
      <c r="D121" t="inlineStr">
        <is>
          <t>https://www.sec.gov/Archives/edgar/data/67347/000110465926066795/</t>
        </is>
      </c>
    </row>
    <row r="122">
      <c r="A122" t="inlineStr">
        <is>
          <t>F25</t>
        </is>
      </c>
      <c r="B122" t="inlineStr">
        <is>
          <t>eps_diluted YTD 2026-04-01 to 2026-06-30</t>
        </is>
      </c>
      <c r="C122" s="45" t="n">
        <v>1.37</v>
      </c>
      <c r="D122" t="inlineStr">
        <is>
          <t>https://www.sec.gov/Archives/edgar/data/67347/000110465926088569/</t>
        </is>
      </c>
    </row>
    <row r="123">
      <c r="A123" t="inlineStr">
        <is>
          <t>F26</t>
        </is>
      </c>
      <c r="B123" t="inlineStr">
        <is>
          <t>eps_diluted prior-year YTD 2025-04-01 to 2025-06-30</t>
        </is>
      </c>
      <c r="C123" s="45" t="n">
        <v>0.95</v>
      </c>
      <c r="D123" t="inlineStr">
        <is>
          <t>https://www.sec.gov/Archives/edgar/data/67347/000110465926088569/</t>
        </is>
      </c>
    </row>
    <row r="124">
      <c r="A124" t="inlineStr">
        <is>
          <t>F27</t>
        </is>
      </c>
      <c r="B124" t="inlineStr">
        <is>
          <t>eps_diluted quarter 2026-04-01 to 2026-06-30</t>
        </is>
      </c>
      <c r="C124" s="45" t="n">
        <v>1.37</v>
      </c>
      <c r="D124" t="inlineStr">
        <is>
          <t>https://www.sec.gov/Archives/edgar/data/67347/000110465926088569/</t>
        </is>
      </c>
    </row>
    <row r="125">
      <c r="A125" t="inlineStr">
        <is>
          <t>F28</t>
        </is>
      </c>
      <c r="B125" t="inlineStr">
        <is>
          <t>diluted_shares_wavg FY ending 2024-03-31 (us-gaap:WeightedAverageNumberOfDilutedSharesOutstanding)</t>
        </is>
      </c>
      <c r="C125" s="45" t="n">
        <v>53400000</v>
      </c>
      <c r="D125" t="inlineStr">
        <is>
          <t>https://www.sec.gov/Archives/edgar/data/67347/000110465926066795/</t>
        </is>
      </c>
    </row>
    <row r="126">
      <c r="A126" t="inlineStr">
        <is>
          <t>F29</t>
        </is>
      </c>
      <c r="B126" t="inlineStr">
        <is>
          <t>diluted_shares_wavg FY ending 2025-03-31 (us-gaap:WeightedAverageNumberOfDilutedSharesOutstanding)</t>
        </is>
      </c>
      <c r="C126" s="45" t="n">
        <v>53900000</v>
      </c>
      <c r="D126" t="inlineStr">
        <is>
          <t>https://www.sec.gov/Archives/edgar/data/67347/000110465926066795/</t>
        </is>
      </c>
    </row>
    <row r="127">
      <c r="A127" t="inlineStr">
        <is>
          <t>F30</t>
        </is>
      </c>
      <c r="B127" t="inlineStr">
        <is>
          <t>diluted_shares_wavg FY ending 2026-03-31 (us-gaap:WeightedAverageNumberOfDilutedSharesOutstanding)</t>
        </is>
      </c>
      <c r="C127" s="45" t="n">
        <v>53800000</v>
      </c>
      <c r="D127" t="inlineStr">
        <is>
          <t>https://www.sec.gov/Archives/edgar/data/67347/000110465926066795/</t>
        </is>
      </c>
    </row>
    <row r="128">
      <c r="A128" t="inlineStr">
        <is>
          <t>F31</t>
        </is>
      </c>
      <c r="B128" t="inlineStr">
        <is>
          <t>diluted_shares_wavg YTD 2026-04-01 to 2026-06-30</t>
        </is>
      </c>
      <c r="C128" s="45" t="n">
        <v>54000000</v>
      </c>
      <c r="D128" t="inlineStr">
        <is>
          <t>https://www.sec.gov/Archives/edgar/data/67347/000110465926088569/</t>
        </is>
      </c>
    </row>
    <row r="129">
      <c r="A129" t="inlineStr">
        <is>
          <t>F32</t>
        </is>
      </c>
      <c r="B129" t="inlineStr">
        <is>
          <t>diluted_shares_wavg prior-year YTD 2025-04-01 to 2025-06-30</t>
        </is>
      </c>
      <c r="C129" s="45" t="n">
        <v>53700000</v>
      </c>
      <c r="D129" t="inlineStr">
        <is>
          <t>https://www.sec.gov/Archives/edgar/data/67347/000110465926088569/</t>
        </is>
      </c>
    </row>
    <row r="130">
      <c r="A130" t="inlineStr">
        <is>
          <t>F33</t>
        </is>
      </c>
      <c r="B130" t="inlineStr">
        <is>
          <t>diluted_shares_wavg quarter 2026-04-01 to 2026-06-30</t>
        </is>
      </c>
      <c r="C130" s="45" t="n">
        <v>54000000</v>
      </c>
      <c r="D130" t="inlineStr">
        <is>
          <t>https://www.sec.gov/Archives/edgar/data/67347/000110465926088569/</t>
        </is>
      </c>
    </row>
    <row r="131">
      <c r="A131" t="inlineStr">
        <is>
          <t>F34</t>
        </is>
      </c>
      <c r="B131" t="inlineStr">
        <is>
          <t>d_and_a FY ending 2024-03-31 (us-gaap:DepreciationDepletionAndAmortization)</t>
        </is>
      </c>
      <c r="C131" s="45" t="n">
        <v>56100000</v>
      </c>
      <c r="D131" t="inlineStr">
        <is>
          <t>https://www.sec.gov/Archives/edgar/data/67347/000110465926066795/</t>
        </is>
      </c>
    </row>
    <row r="132">
      <c r="A132" t="inlineStr">
        <is>
          <t>F35</t>
        </is>
      </c>
      <c r="B132" t="inlineStr">
        <is>
          <t>d_and_a FY ending 2025-03-31 (us-gaap:DepreciationDepletionAndAmortization)</t>
        </is>
      </c>
      <c r="C132" s="45" t="n">
        <v>77700000</v>
      </c>
      <c r="D132" t="inlineStr">
        <is>
          <t>https://www.sec.gov/Archives/edgar/data/67347/000110465926066795/</t>
        </is>
      </c>
    </row>
    <row r="133">
      <c r="A133" t="inlineStr">
        <is>
          <t>F36</t>
        </is>
      </c>
      <c r="B133" t="inlineStr">
        <is>
          <t>d_and_a FY ending 2026-03-31 (us-gaap:DepreciationDepletionAndAmortization)</t>
        </is>
      </c>
      <c r="C133" s="45" t="n">
        <v>79700000</v>
      </c>
      <c r="D133" t="inlineStr">
        <is>
          <t>https://www.sec.gov/Archives/edgar/data/67347/000110465926066795/</t>
        </is>
      </c>
    </row>
    <row r="134">
      <c r="A134" t="inlineStr">
        <is>
          <t>F37</t>
        </is>
      </c>
      <c r="B134" t="inlineStr">
        <is>
          <t>d_and_a YTD 2026-04-01 to 2026-06-30</t>
        </is>
      </c>
      <c r="C134" s="45" t="n">
        <v>20700000</v>
      </c>
      <c r="D134" t="inlineStr">
        <is>
          <t>https://www.sec.gov/Archives/edgar/data/67347/000110465926088569/</t>
        </is>
      </c>
    </row>
    <row r="135">
      <c r="A135" t="inlineStr">
        <is>
          <t>F38</t>
        </is>
      </c>
      <c r="B135" t="inlineStr">
        <is>
          <t>d_and_a prior-year YTD 2025-04-01 to 2025-06-30</t>
        </is>
      </c>
      <c r="C135" s="45" t="n">
        <v>19000000</v>
      </c>
      <c r="D135" t="inlineStr">
        <is>
          <t>https://www.sec.gov/Archives/edgar/data/67347/000110465926088569/</t>
        </is>
      </c>
    </row>
    <row r="136">
      <c r="A136" t="inlineStr">
        <is>
          <t>F39</t>
        </is>
      </c>
      <c r="B136" t="inlineStr">
        <is>
          <t>d_and_a TTM to 2026-06-30</t>
        </is>
      </c>
      <c r="C136" s="45" t="n">
        <v>81400000</v>
      </c>
    </row>
    <row r="137">
      <c r="A137" t="inlineStr">
        <is>
          <t>F40</t>
        </is>
      </c>
      <c r="B137" t="inlineStr">
        <is>
          <t>d_and_a quarter 2026-04-01 to 2026-06-30</t>
        </is>
      </c>
      <c r="C137" s="45" t="n">
        <v>20700000</v>
      </c>
      <c r="D137" t="inlineStr">
        <is>
          <t>https://www.sec.gov/Archives/edgar/data/67347/000110465926088569/</t>
        </is>
      </c>
    </row>
    <row r="138">
      <c r="A138" t="inlineStr">
        <is>
          <t>F41</t>
        </is>
      </c>
      <c r="B138" t="inlineStr">
        <is>
          <t>sbc FY ending 2024-03-31 (us-gaap:ShareBasedCompensation)</t>
        </is>
      </c>
      <c r="C138" s="45" t="n">
        <v>10800000</v>
      </c>
      <c r="D138" t="inlineStr">
        <is>
          <t>https://www.sec.gov/Archives/edgar/data/67347/000110465926066795/</t>
        </is>
      </c>
    </row>
    <row r="139">
      <c r="A139" t="inlineStr">
        <is>
          <t>F42</t>
        </is>
      </c>
      <c r="B139" t="inlineStr">
        <is>
          <t>sbc FY ending 2025-03-31 (us-gaap:ShareBasedCompensation)</t>
        </is>
      </c>
      <c r="C139" s="45" t="n">
        <v>26400000</v>
      </c>
      <c r="D139" t="inlineStr">
        <is>
          <t>https://www.sec.gov/Archives/edgar/data/67347/000110465926066795/</t>
        </is>
      </c>
    </row>
    <row r="140">
      <c r="A140" t="inlineStr">
        <is>
          <t>F43</t>
        </is>
      </c>
      <c r="B140" t="inlineStr">
        <is>
          <t>sbc FY ending 2026-03-31 (us-gaap:ShareBasedCompensation)</t>
        </is>
      </c>
      <c r="C140" s="45" t="n">
        <v>22100000</v>
      </c>
      <c r="D140" t="inlineStr">
        <is>
          <t>https://www.sec.gov/Archives/edgar/data/67347/000110465926066795/</t>
        </is>
      </c>
    </row>
    <row r="141">
      <c r="A141" t="inlineStr">
        <is>
          <t>F44</t>
        </is>
      </c>
      <c r="B141" t="inlineStr">
        <is>
          <t>sbc YTD 2026-04-01 to 2026-06-30</t>
        </is>
      </c>
      <c r="C141" s="45" t="n">
        <v>8000000</v>
      </c>
      <c r="D141" t="inlineStr">
        <is>
          <t>https://www.sec.gov/Archives/edgar/data/67347/000110465926088569/</t>
        </is>
      </c>
    </row>
    <row r="142">
      <c r="A142" t="inlineStr">
        <is>
          <t>F45</t>
        </is>
      </c>
      <c r="B142" t="inlineStr">
        <is>
          <t>sbc prior-year YTD 2025-04-01 to 2025-06-30</t>
        </is>
      </c>
      <c r="C142" s="45" t="n">
        <v>5300000</v>
      </c>
      <c r="D142" t="inlineStr">
        <is>
          <t>https://www.sec.gov/Archives/edgar/data/67347/000110465926088569/</t>
        </is>
      </c>
    </row>
    <row r="143">
      <c r="A143" t="inlineStr">
        <is>
          <t>F46</t>
        </is>
      </c>
      <c r="B143" t="inlineStr">
        <is>
          <t>sbc TTM to 2026-06-30</t>
        </is>
      </c>
      <c r="C143" s="45" t="n">
        <v>24800000</v>
      </c>
    </row>
    <row r="144">
      <c r="A144" t="inlineStr">
        <is>
          <t>F47</t>
        </is>
      </c>
      <c r="B144" t="inlineStr">
        <is>
          <t>sbc quarter 2026-04-01 to 2026-06-30</t>
        </is>
      </c>
      <c r="C144" s="45" t="n">
        <v>8000000</v>
      </c>
      <c r="D144" t="inlineStr">
        <is>
          <t>https://www.sec.gov/Archives/edgar/data/67347/000110465926088569/</t>
        </is>
      </c>
    </row>
    <row r="145">
      <c r="A145" t="inlineStr">
        <is>
          <t>F48</t>
        </is>
      </c>
      <c r="B145" t="inlineStr">
        <is>
          <t>cfo FY ending 2024-03-31 (us-gaap:NetCashProvidedByUsedInOperatingActivities)</t>
        </is>
      </c>
      <c r="C145" s="45" t="n">
        <v>214600000</v>
      </c>
      <c r="D145" t="inlineStr">
        <is>
          <t>https://www.sec.gov/Archives/edgar/data/67347/000110465926066795/</t>
        </is>
      </c>
    </row>
    <row r="146">
      <c r="A146" t="inlineStr">
        <is>
          <t>F49</t>
        </is>
      </c>
      <c r="B146" t="inlineStr">
        <is>
          <t>cfo FY ending 2025-03-31 (us-gaap:NetCashProvidedByUsedInOperatingActivities)</t>
        </is>
      </c>
      <c r="C146" s="45" t="n">
        <v>213300000</v>
      </c>
      <c r="D146" t="inlineStr">
        <is>
          <t>https://www.sec.gov/Archives/edgar/data/67347/000110465926066795/</t>
        </is>
      </c>
    </row>
    <row r="147">
      <c r="A147" t="inlineStr">
        <is>
          <t>F50</t>
        </is>
      </c>
      <c r="B147" t="inlineStr">
        <is>
          <t>cfo FY ending 2026-03-31 (us-gaap:NetCashProvidedByUsedInOperatingActivities)</t>
        </is>
      </c>
      <c r="C147" s="45" t="n">
        <v>248700000</v>
      </c>
      <c r="D147" t="inlineStr">
        <is>
          <t>https://www.sec.gov/Archives/edgar/data/67347/000110465926066795/</t>
        </is>
      </c>
    </row>
    <row r="148">
      <c r="A148" t="inlineStr">
        <is>
          <t>F51</t>
        </is>
      </c>
      <c r="B148" t="inlineStr">
        <is>
          <t>cfo YTD 2026-04-01 to 2026-06-30</t>
        </is>
      </c>
      <c r="C148" s="45" t="n">
        <v>41400000</v>
      </c>
      <c r="D148" t="inlineStr">
        <is>
          <t>https://www.sec.gov/Archives/edgar/data/67347/000110465926088569/</t>
        </is>
      </c>
    </row>
    <row r="149">
      <c r="A149" t="inlineStr">
        <is>
          <t>F52</t>
        </is>
      </c>
      <c r="B149" t="inlineStr">
        <is>
          <t>cfo prior-year YTD 2025-04-01 to 2025-06-30</t>
        </is>
      </c>
      <c r="C149" s="45" t="n">
        <v>27700000</v>
      </c>
      <c r="D149" t="inlineStr">
        <is>
          <t>https://www.sec.gov/Archives/edgar/data/67347/000110465926088569/</t>
        </is>
      </c>
    </row>
    <row r="150">
      <c r="A150" t="inlineStr">
        <is>
          <t>F53</t>
        </is>
      </c>
      <c r="B150" t="inlineStr">
        <is>
          <t>cfo TTM to 2026-06-30</t>
        </is>
      </c>
      <c r="C150" s="45" t="n">
        <v>262400000</v>
      </c>
    </row>
    <row r="151">
      <c r="A151" t="inlineStr">
        <is>
          <t>F54</t>
        </is>
      </c>
      <c r="B151" t="inlineStr">
        <is>
          <t>cfo quarter 2026-04-01 to 2026-06-30</t>
        </is>
      </c>
      <c r="C151" s="45" t="n">
        <v>41400000</v>
      </c>
      <c r="D151" t="inlineStr">
        <is>
          <t>https://www.sec.gov/Archives/edgar/data/67347/000110465926088569/</t>
        </is>
      </c>
    </row>
    <row r="152">
      <c r="A152" t="inlineStr">
        <is>
          <t>F55</t>
        </is>
      </c>
      <c r="B152" t="inlineStr">
        <is>
          <t>capex FY ending 2024-03-31 (us-gaap:PaymentsToAcquirePropertyPlantAndEquipment)</t>
        </is>
      </c>
      <c r="C152" s="45" t="n">
        <v>87700000</v>
      </c>
      <c r="D152" t="inlineStr">
        <is>
          <t>https://www.sec.gov/Archives/edgar/data/67347/000110465926066795/</t>
        </is>
      </c>
    </row>
    <row r="153">
      <c r="A153" t="inlineStr">
        <is>
          <t>F56</t>
        </is>
      </c>
      <c r="B153" t="inlineStr">
        <is>
          <t>capex FY ending 2025-03-31 (us-gaap:PaymentsToAcquirePropertyPlantAndEquipment)</t>
        </is>
      </c>
      <c r="C153" s="45" t="n">
        <v>84000000</v>
      </c>
      <c r="D153" t="inlineStr">
        <is>
          <t>https://www.sec.gov/Archives/edgar/data/67347/000110465926066795/</t>
        </is>
      </c>
    </row>
    <row r="154">
      <c r="A154" t="inlineStr">
        <is>
          <t>F57</t>
        </is>
      </c>
      <c r="B154" t="inlineStr">
        <is>
          <t>capex FY ending 2026-03-31 (us-gaap:PaymentsToAcquirePropertyPlantAndEquipment)</t>
        </is>
      </c>
      <c r="C154" s="45" t="n">
        <v>143300000</v>
      </c>
      <c r="D154" t="inlineStr">
        <is>
          <t>https://www.sec.gov/Archives/edgar/data/67347/000110465926066795/</t>
        </is>
      </c>
    </row>
    <row r="155">
      <c r="A155" t="inlineStr">
        <is>
          <t>F58</t>
        </is>
      </c>
      <c r="B155" t="inlineStr">
        <is>
          <t>capex YTD 2026-04-01 to 2026-06-30</t>
        </is>
      </c>
      <c r="C155" s="45" t="n">
        <v>46400000</v>
      </c>
      <c r="D155" t="inlineStr">
        <is>
          <t>https://www.sec.gov/Archives/edgar/data/67347/000110465926088569/</t>
        </is>
      </c>
    </row>
    <row r="156">
      <c r="A156" t="inlineStr">
        <is>
          <t>F59</t>
        </is>
      </c>
      <c r="B156" t="inlineStr">
        <is>
          <t>capex prior-year YTD 2025-04-01 to 2025-06-30</t>
        </is>
      </c>
      <c r="C156" s="45" t="n">
        <v>27500000</v>
      </c>
      <c r="D156" t="inlineStr">
        <is>
          <t>https://www.sec.gov/Archives/edgar/data/67347/000110465926088569/</t>
        </is>
      </c>
    </row>
    <row r="157">
      <c r="A157" t="inlineStr">
        <is>
          <t>F60</t>
        </is>
      </c>
      <c r="B157" t="inlineStr">
        <is>
          <t>capex TTM to 2026-06-30</t>
        </is>
      </c>
      <c r="C157" s="45" t="n">
        <v>162200000</v>
      </c>
    </row>
    <row r="158">
      <c r="A158" t="inlineStr">
        <is>
          <t>F61</t>
        </is>
      </c>
      <c r="B158" t="inlineStr">
        <is>
          <t>capex quarter 2026-04-01 to 2026-06-30</t>
        </is>
      </c>
      <c r="C158" s="45" t="n">
        <v>46400000</v>
      </c>
      <c r="D158" t="inlineStr">
        <is>
          <t>https://www.sec.gov/Archives/edgar/data/67347/000110465926088569/</t>
        </is>
      </c>
    </row>
    <row r="159">
      <c r="A159" t="inlineStr">
        <is>
          <t>F62</t>
        </is>
      </c>
      <c r="B159" t="inlineStr">
        <is>
          <t>buybacks FY ending 2024-03-31 (us-gaap:PaymentsForRepurchaseOfCommonStock)</t>
        </is>
      </c>
      <c r="C159" s="45" t="n">
        <v>17700000</v>
      </c>
      <c r="D159" t="inlineStr">
        <is>
          <t>https://www.sec.gov/Archives/edgar/data/67347/000110465926066795/</t>
        </is>
      </c>
    </row>
    <row r="160">
      <c r="A160" t="inlineStr">
        <is>
          <t>F63</t>
        </is>
      </c>
      <c r="B160" t="inlineStr">
        <is>
          <t>buybacks FY ending 2025-03-31 (us-gaap:PaymentsForRepurchaseOfCommonStock)</t>
        </is>
      </c>
      <c r="C160" s="45" t="n">
        <v>30900000</v>
      </c>
      <c r="D160" t="inlineStr">
        <is>
          <t>https://www.sec.gov/Archives/edgar/data/67347/000110465926066795/</t>
        </is>
      </c>
    </row>
    <row r="161">
      <c r="A161" t="inlineStr">
        <is>
          <t>F64</t>
        </is>
      </c>
      <c r="B161" t="inlineStr">
        <is>
          <t>buybacks FY ending 2026-03-31 (us-gaap:PaymentsForRepurchaseOfCommonStock)</t>
        </is>
      </c>
      <c r="C161" s="45" t="n">
        <v>7000000</v>
      </c>
      <c r="D161" t="inlineStr">
        <is>
          <t>https://www.sec.gov/Archives/edgar/data/67347/000110465926066795/</t>
        </is>
      </c>
    </row>
    <row r="162">
      <c r="A162" t="inlineStr">
        <is>
          <t>F65</t>
        </is>
      </c>
      <c r="B162" t="inlineStr">
        <is>
          <t>buybacks YTD 2026-04-01 to 2026-06-30</t>
        </is>
      </c>
      <c r="C162" s="45" t="n">
        <v>64600000</v>
      </c>
      <c r="D162" t="inlineStr">
        <is>
          <t>https://www.sec.gov/Archives/edgar/data/67347/000110465926088569/</t>
        </is>
      </c>
    </row>
    <row r="163">
      <c r="A163" t="inlineStr">
        <is>
          <t>F66</t>
        </is>
      </c>
      <c r="B163" t="inlineStr">
        <is>
          <t>buybacks prior-year YTD 2025-04-01 to 2025-06-30</t>
        </is>
      </c>
      <c r="C163" s="45" t="n">
        <v>5100000</v>
      </c>
      <c r="D163" t="inlineStr">
        <is>
          <t>https://www.sec.gov/Archives/edgar/data/67347/000110465926088569/</t>
        </is>
      </c>
    </row>
    <row r="164">
      <c r="A164" t="inlineStr">
        <is>
          <t>F67</t>
        </is>
      </c>
      <c r="B164" t="inlineStr">
        <is>
          <t>buybacks TTM to 2026-06-30</t>
        </is>
      </c>
      <c r="C164" s="45" t="n">
        <v>66500000</v>
      </c>
    </row>
    <row r="165">
      <c r="A165" t="inlineStr">
        <is>
          <t>F68</t>
        </is>
      </c>
      <c r="B165" t="inlineStr">
        <is>
          <t>buybacks quarter 2026-04-01 to 2026-06-30</t>
        </is>
      </c>
      <c r="C165" s="45" t="n">
        <v>64600000</v>
      </c>
      <c r="D165" t="inlineStr">
        <is>
          <t>https://www.sec.gov/Archives/edgar/data/67347/000110465926088569/</t>
        </is>
      </c>
    </row>
    <row r="166">
      <c r="A166" t="inlineStr">
        <is>
          <t>F69</t>
        </is>
      </c>
      <c r="B166" t="inlineStr">
        <is>
          <t>interest_expense FY ending 2024-03-31 (us-gaap:InterestExpenseNonoperating)</t>
        </is>
      </c>
      <c r="C166" s="45" t="n">
        <v>24100000</v>
      </c>
      <c r="D166" t="inlineStr">
        <is>
          <t>https://www.sec.gov/Archives/edgar/data/67347/000110465926066795/</t>
        </is>
      </c>
    </row>
    <row r="167">
      <c r="A167" t="inlineStr">
        <is>
          <t>F70</t>
        </is>
      </c>
      <c r="B167" t="inlineStr">
        <is>
          <t>interest_expense FY ending 2025-03-31 (us-gaap:InterestExpenseNonoperating)</t>
        </is>
      </c>
      <c r="C167" s="45" t="n">
        <v>26400000</v>
      </c>
      <c r="D167" t="inlineStr">
        <is>
          <t>https://www.sec.gov/Archives/edgar/data/67347/000110465926066795/</t>
        </is>
      </c>
    </row>
    <row r="168">
      <c r="A168" t="inlineStr">
        <is>
          <t>F71</t>
        </is>
      </c>
      <c r="B168" t="inlineStr">
        <is>
          <t>interest_expense FY ending 2026-03-31 (us-gaap:InterestExpenseNonoperating)</t>
        </is>
      </c>
      <c r="C168" s="45" t="n">
        <v>31600000</v>
      </c>
      <c r="D168" t="inlineStr">
        <is>
          <t>https://www.sec.gov/Archives/edgar/data/67347/000110465926066795/</t>
        </is>
      </c>
    </row>
    <row r="169">
      <c r="A169" t="inlineStr">
        <is>
          <t>F72</t>
        </is>
      </c>
      <c r="B169" t="inlineStr">
        <is>
          <t>interest_expense YTD 2026-04-01 to 2026-06-30</t>
        </is>
      </c>
      <c r="C169" s="45" t="n">
        <v>6400000</v>
      </c>
      <c r="D169" t="inlineStr">
        <is>
          <t>https://www.sec.gov/Archives/edgar/data/67347/000110465926088569/</t>
        </is>
      </c>
    </row>
    <row r="170">
      <c r="A170" t="inlineStr">
        <is>
          <t>F73</t>
        </is>
      </c>
      <c r="B170" t="inlineStr">
        <is>
          <t>interest_expense prior-year YTD 2025-04-01 to 2025-06-30</t>
        </is>
      </c>
      <c r="C170" s="45" t="n">
        <v>5800000</v>
      </c>
      <c r="D170" t="inlineStr">
        <is>
          <t>https://www.sec.gov/Archives/edgar/data/67347/000110465926088569/</t>
        </is>
      </c>
    </row>
    <row r="171">
      <c r="A171" t="inlineStr">
        <is>
          <t>F74</t>
        </is>
      </c>
      <c r="B171" t="inlineStr">
        <is>
          <t>interest_expense TTM to 2026-06-30</t>
        </is>
      </c>
      <c r="C171" s="45" t="n">
        <v>32200000</v>
      </c>
    </row>
    <row r="172">
      <c r="A172" t="inlineStr">
        <is>
          <t>F75</t>
        </is>
      </c>
      <c r="B172" t="inlineStr">
        <is>
          <t>interest_expense quarter 2026-04-01 to 2026-06-30</t>
        </is>
      </c>
      <c r="C172" s="45" t="n">
        <v>6400000</v>
      </c>
      <c r="D172" t="inlineStr">
        <is>
          <t>https://www.sec.gov/Archives/edgar/data/67347/000110465926088569/</t>
        </is>
      </c>
    </row>
    <row r="173">
      <c r="A173" t="inlineStr">
        <is>
          <t>F76</t>
        </is>
      </c>
      <c r="B173" t="inlineStr">
        <is>
          <t>income_tax FY ending 2024-03-31 (us-gaap:IncomeTaxExpenseBenefit)</t>
        </is>
      </c>
      <c r="C173" s="45" t="n">
        <v>51200000</v>
      </c>
      <c r="D173" t="inlineStr">
        <is>
          <t>https://www.sec.gov/Archives/edgar/data/67347/000110465926066795/</t>
        </is>
      </c>
    </row>
    <row r="174">
      <c r="A174" t="inlineStr">
        <is>
          <t>F77</t>
        </is>
      </c>
      <c r="B174" t="inlineStr">
        <is>
          <t>income_tax FY ending 2025-03-31 (us-gaap:IncomeTaxExpenseBenefit)</t>
        </is>
      </c>
      <c r="C174" s="45" t="n">
        <v>68500000</v>
      </c>
      <c r="D174" t="inlineStr">
        <is>
          <t>https://www.sec.gov/Archives/edgar/data/67347/000110465926066795/</t>
        </is>
      </c>
    </row>
    <row r="175">
      <c r="A175" t="inlineStr">
        <is>
          <t>F78</t>
        </is>
      </c>
      <c r="B175" t="inlineStr">
        <is>
          <t>income_tax FY ending 2026-03-31 (us-gaap:IncomeTaxExpenseBenefit)</t>
        </is>
      </c>
      <c r="C175" s="45" t="n">
        <v>63200000</v>
      </c>
      <c r="D175" t="inlineStr">
        <is>
          <t>https://www.sec.gov/Archives/edgar/data/67347/000110465926066795/</t>
        </is>
      </c>
    </row>
    <row r="176">
      <c r="A176" t="inlineStr">
        <is>
          <t>F79</t>
        </is>
      </c>
      <c r="B176" t="inlineStr">
        <is>
          <t>income_tax YTD 2026-04-01 to 2026-06-30</t>
        </is>
      </c>
      <c r="C176" s="45" t="n">
        <v>-5700000</v>
      </c>
      <c r="D176" t="inlineStr">
        <is>
          <t>https://www.sec.gov/Archives/edgar/data/67347/000110465926088569/</t>
        </is>
      </c>
    </row>
    <row r="177">
      <c r="A177" t="inlineStr">
        <is>
          <t>F80</t>
        </is>
      </c>
      <c r="B177" t="inlineStr">
        <is>
          <t>income_tax prior-year YTD 2025-04-01 to 2025-06-30</t>
        </is>
      </c>
      <c r="C177" s="45" t="n">
        <v>14000000</v>
      </c>
      <c r="D177" t="inlineStr">
        <is>
          <t>https://www.sec.gov/Archives/edgar/data/67347/000110465926088569/</t>
        </is>
      </c>
    </row>
    <row r="178">
      <c r="A178" t="inlineStr">
        <is>
          <t>F81</t>
        </is>
      </c>
      <c r="B178" t="inlineStr">
        <is>
          <t>income_tax TTM to 2026-06-30</t>
        </is>
      </c>
      <c r="C178" s="45" t="n">
        <v>43500000</v>
      </c>
    </row>
    <row r="179">
      <c r="A179" t="inlineStr">
        <is>
          <t>F82</t>
        </is>
      </c>
      <c r="B179" t="inlineStr">
        <is>
          <t>income_tax quarter 2026-04-01 to 2026-06-30</t>
        </is>
      </c>
      <c r="C179" s="45" t="n">
        <v>-5700000</v>
      </c>
      <c r="D179" t="inlineStr">
        <is>
          <t>https://www.sec.gov/Archives/edgar/data/67347/000110465926088569/</t>
        </is>
      </c>
    </row>
    <row r="180">
      <c r="A180" t="inlineStr">
        <is>
          <t>F83</t>
        </is>
      </c>
      <c r="B180" t="inlineStr">
        <is>
          <t>pretax_income FY ending 2024-03-31 (us-gaap:IncomeLossFromContinuingOperationsBeforeIncomeTaxesExtraordinaryItemsNoncontrollingInterest)</t>
        </is>
      </c>
      <c r="C180" s="45" t="n">
        <v>214600000</v>
      </c>
      <c r="D180" t="inlineStr">
        <is>
          <t>https://www.sec.gov/Archives/edgar/data/67347/000110465926066795/</t>
        </is>
      </c>
    </row>
    <row r="181">
      <c r="A181" t="inlineStr">
        <is>
          <t>F84</t>
        </is>
      </c>
      <c r="B181" t="inlineStr">
        <is>
          <t>pretax_income FY ending 2025-03-31 (us-gaap:IncomeLossFromContinuingOperationsBeforeIncomeTaxesExtraordinaryItemsNoncontrollingInterest)</t>
        </is>
      </c>
      <c r="C181" s="45" t="n">
        <v>254000000</v>
      </c>
      <c r="D181" t="inlineStr">
        <is>
          <t>https://www.sec.gov/Archives/edgar/data/67347/000110465926066795/</t>
        </is>
      </c>
    </row>
    <row r="182">
      <c r="A182" t="inlineStr">
        <is>
          <t>F85</t>
        </is>
      </c>
      <c r="B182" t="inlineStr">
        <is>
          <t>pretax_income FY ending 2026-03-31 (us-gaap:IncomeLossFromContinuingOperationsBeforeIncomeTaxesExtraordinaryItemsNoncontrollingInterest)</t>
        </is>
      </c>
      <c r="C182" s="45" t="n">
        <v>186500000</v>
      </c>
      <c r="D182" t="inlineStr">
        <is>
          <t>https://www.sec.gov/Archives/edgar/data/67347/000110465926066795/</t>
        </is>
      </c>
    </row>
    <row r="183">
      <c r="A183" t="inlineStr">
        <is>
          <t>F86</t>
        </is>
      </c>
      <c r="B183" t="inlineStr">
        <is>
          <t>pretax_income YTD 2026-04-01 to 2026-06-30</t>
        </is>
      </c>
      <c r="C183" s="45" t="n">
        <v>68600000</v>
      </c>
      <c r="D183" t="inlineStr">
        <is>
          <t>https://www.sec.gov/Archives/edgar/data/67347/000110465926088569/</t>
        </is>
      </c>
    </row>
    <row r="184">
      <c r="A184" t="inlineStr">
        <is>
          <t>F87</t>
        </is>
      </c>
      <c r="B184" t="inlineStr">
        <is>
          <t>pretax_income prior-year YTD 2025-04-01 to 2025-06-30</t>
        </is>
      </c>
      <c r="C184" s="45" t="n">
        <v>65700000</v>
      </c>
      <c r="D184" t="inlineStr">
        <is>
          <t>https://www.sec.gov/Archives/edgar/data/67347/000110465926088569/</t>
        </is>
      </c>
    </row>
    <row r="185">
      <c r="A185" t="inlineStr">
        <is>
          <t>F88</t>
        </is>
      </c>
      <c r="B185" t="inlineStr">
        <is>
          <t>pretax_income TTM to 2026-06-30</t>
        </is>
      </c>
      <c r="C185" s="45" t="n">
        <v>189400000</v>
      </c>
    </row>
    <row r="186">
      <c r="A186" t="inlineStr">
        <is>
          <t>F89</t>
        </is>
      </c>
      <c r="B186" t="inlineStr">
        <is>
          <t>pretax_income quarter 2026-04-01 to 2026-06-30</t>
        </is>
      </c>
      <c r="C186" s="45" t="n">
        <v>68600000</v>
      </c>
      <c r="D186" t="inlineStr">
        <is>
          <t>https://www.sec.gov/Archives/edgar/data/67347/000110465926088569/</t>
        </is>
      </c>
    </row>
    <row r="187">
      <c r="A187" t="inlineStr">
        <is>
          <t>F90</t>
        </is>
      </c>
      <c r="B187" t="inlineStr">
        <is>
          <t>cash at 2026-06-30 (us-gaap:CashAndCashEquivalentsAtCarryingValue)</t>
        </is>
      </c>
      <c r="C187" s="45" t="n">
        <v>95300000</v>
      </c>
      <c r="D187" t="inlineStr">
        <is>
          <t>https://www.sec.gov/Archives/edgar/data/67347/000110465926088569/</t>
        </is>
      </c>
    </row>
    <row r="188">
      <c r="A188" t="inlineStr">
        <is>
          <t>F91</t>
        </is>
      </c>
      <c r="B188" t="inlineStr">
        <is>
          <t>debt_total at 2026-06-30 (us-gaap:LongTermDebtAndCapitalLeaseObligationsIncludingCurrentMaturities)</t>
        </is>
      </c>
      <c r="C188" s="45" t="n">
        <v>521700000</v>
      </c>
      <c r="D188" t="inlineStr">
        <is>
          <t>https://www.sec.gov/Archives/edgar/data/67347/000110465926088569/</t>
        </is>
      </c>
    </row>
    <row r="189">
      <c r="A189" t="inlineStr">
        <is>
          <t>F92</t>
        </is>
      </c>
      <c r="B189" t="inlineStr">
        <is>
          <t>debt_noncurrent at 2026-06-30 (us-gaap:LongTermDebtAndCapitalLeaseObligations)</t>
        </is>
      </c>
      <c r="C189" s="45" t="n">
        <v>476200000</v>
      </c>
      <c r="D189" t="inlineStr">
        <is>
          <t>https://www.sec.gov/Archives/edgar/data/67347/000110465926088569/</t>
        </is>
      </c>
    </row>
    <row r="190">
      <c r="A190" t="inlineStr">
        <is>
          <t>F93</t>
        </is>
      </c>
      <c r="B190" t="inlineStr">
        <is>
          <t>debt_current at 2026-06-30 (us-gaap:LongTermDebtAndCapitalLeaseObligationsCurrent)</t>
        </is>
      </c>
      <c r="C190" s="45" t="n">
        <v>43900000</v>
      </c>
      <c r="D190" t="inlineStr">
        <is>
          <t>https://www.sec.gov/Archives/edgar/data/67347/000110465926088569/</t>
        </is>
      </c>
    </row>
    <row r="191">
      <c r="A191" t="inlineStr">
        <is>
          <t>F94</t>
        </is>
      </c>
      <c r="B191" t="inlineStr">
        <is>
          <t>st_borrowings at 2026-06-30 (us-gaap:ShortTermBorrowings)</t>
        </is>
      </c>
      <c r="C191" s="45" t="n">
        <v>8100000</v>
      </c>
      <c r="D191" t="inlineStr">
        <is>
          <t>https://www.sec.gov/Archives/edgar/data/67347/000110465926088569/</t>
        </is>
      </c>
    </row>
    <row r="192">
      <c r="A192" t="inlineStr">
        <is>
          <t>F95</t>
        </is>
      </c>
      <c r="B192" t="inlineStr">
        <is>
          <t>equity at 2026-06-30 (us-gaap:StockholdersEquity)</t>
        </is>
      </c>
      <c r="C192" s="45" t="n">
        <v>1201500000</v>
      </c>
      <c r="D192" t="inlineStr">
        <is>
          <t>https://www.sec.gov/Archives/edgar/data/67347/000110465926088569/</t>
        </is>
      </c>
    </row>
    <row r="193">
      <c r="A193" t="inlineStr">
        <is>
          <t>F96</t>
        </is>
      </c>
      <c r="B193" t="inlineStr">
        <is>
          <t>shares outstanding (cover page, 1 class(es)) as of 2026-07-24</t>
        </is>
      </c>
      <c r="C193" s="45" t="n">
        <v>53112708</v>
      </c>
      <c r="D193" t="inlineStr">
        <is>
          <t>https://www.sec.gov/Archives/edgar/data/67347/000110465926088569/</t>
        </is>
      </c>
    </row>
    <row r="194">
      <c r="A194" t="inlineStr">
        <is>
          <t>F97</t>
        </is>
      </c>
      <c r="B194" t="inlineStr">
        <is>
          <t>total debt (XBRL tags; excludes leases unless tagged in; check the balance sheet)</t>
        </is>
      </c>
      <c r="C194" s="45" t="n">
        <v>529800000</v>
      </c>
    </row>
    <row r="195">
      <c r="A195" t="inlineStr">
        <is>
          <t>F98</t>
        </is>
      </c>
      <c r="B195" t="inlineStr">
        <is>
          <t>net debt = debt - cash - short-term investments</t>
        </is>
      </c>
      <c r="C195" s="45" t="n">
        <v>434500000</v>
      </c>
    </row>
    <row r="196">
      <c r="A196" t="inlineStr">
        <is>
          <t>F99</t>
        </is>
      </c>
      <c r="B196" t="inlineStr">
        <is>
          <t>EBITDA TTM (GAAP operating income + D&amp;A; not the company's adjusted EBITDA)</t>
        </is>
      </c>
      <c r="C196" s="45" t="n">
        <v>422900000</v>
      </c>
    </row>
    <row r="197">
      <c r="A197" t="inlineStr">
        <is>
          <t>F100</t>
        </is>
      </c>
      <c r="B197" t="inlineStr">
        <is>
          <t>free cash flow TTM = operating cash flow - capex (before SBC adjustment)</t>
        </is>
      </c>
      <c r="C197" s="45" t="n">
        <v>100200000</v>
      </c>
    </row>
    <row r="198">
      <c r="A198" t="inlineStr">
        <is>
          <t>F101</t>
        </is>
      </c>
      <c r="B198" t="inlineStr">
        <is>
          <t>diluted EPS TTM approx = net income TTM / latest quarter diluted shares</t>
        </is>
      </c>
      <c r="C198" s="45" t="n">
        <v>2.670370370370371</v>
      </c>
    </row>
  </sheetData>
  <hyperlinks>
    <hyperlink xmlns:r="http://schemas.openxmlformats.org/officeDocument/2006/relationships" ref="D22" r:id="rId1"/>
    <hyperlink xmlns:r="http://schemas.openxmlformats.org/officeDocument/2006/relationships" ref="D23" r:id="rId2"/>
    <hyperlink xmlns:r="http://schemas.openxmlformats.org/officeDocument/2006/relationships" ref="D24" r:id="rId3"/>
    <hyperlink xmlns:r="http://schemas.openxmlformats.org/officeDocument/2006/relationships" ref="D25" r:id="rId4"/>
    <hyperlink xmlns:r="http://schemas.openxmlformats.org/officeDocument/2006/relationships" ref="D26" r:id="rId5"/>
    <hyperlink xmlns:r="http://schemas.openxmlformats.org/officeDocument/2006/relationships" ref="D27" r:id="rId6"/>
    <hyperlink xmlns:r="http://schemas.openxmlformats.org/officeDocument/2006/relationships" ref="D28" r:id="rId7"/>
    <hyperlink xmlns:r="http://schemas.openxmlformats.org/officeDocument/2006/relationships" ref="D29" r:id="rId8"/>
    <hyperlink xmlns:r="http://schemas.openxmlformats.org/officeDocument/2006/relationships" ref="D30" r:id="rId9"/>
    <hyperlink xmlns:r="http://schemas.openxmlformats.org/officeDocument/2006/relationships" ref="D31" r:id="rId10"/>
    <hyperlink xmlns:r="http://schemas.openxmlformats.org/officeDocument/2006/relationships" ref="D32" r:id="rId11"/>
    <hyperlink xmlns:r="http://schemas.openxmlformats.org/officeDocument/2006/relationships" ref="D33" r:id="rId12"/>
    <hyperlink xmlns:r="http://schemas.openxmlformats.org/officeDocument/2006/relationships" ref="D34" r:id="rId13"/>
    <hyperlink xmlns:r="http://schemas.openxmlformats.org/officeDocument/2006/relationships" ref="D35" r:id="rId14"/>
    <hyperlink xmlns:r="http://schemas.openxmlformats.org/officeDocument/2006/relationships" ref="D36" r:id="rId15"/>
    <hyperlink xmlns:r="http://schemas.openxmlformats.org/officeDocument/2006/relationships" ref="D37" r:id="rId16"/>
    <hyperlink xmlns:r="http://schemas.openxmlformats.org/officeDocument/2006/relationships" ref="D38" r:id="rId17"/>
    <hyperlink xmlns:r="http://schemas.openxmlformats.org/officeDocument/2006/relationships" ref="D39" r:id="rId18"/>
    <hyperlink xmlns:r="http://schemas.openxmlformats.org/officeDocument/2006/relationships" ref="D40" r:id="rId19"/>
    <hyperlink xmlns:r="http://schemas.openxmlformats.org/officeDocument/2006/relationships" ref="D41" r:id="rId20"/>
    <hyperlink xmlns:r="http://schemas.openxmlformats.org/officeDocument/2006/relationships" ref="D42" r:id="rId21"/>
    <hyperlink xmlns:r="http://schemas.openxmlformats.org/officeDocument/2006/relationships" ref="D43" r:id="rId22"/>
    <hyperlink xmlns:r="http://schemas.openxmlformats.org/officeDocument/2006/relationships" ref="D44" r:id="rId23"/>
    <hyperlink xmlns:r="http://schemas.openxmlformats.org/officeDocument/2006/relationships" ref="D45" r:id="rId24"/>
    <hyperlink xmlns:r="http://schemas.openxmlformats.org/officeDocument/2006/relationships" ref="D46" r:id="rId25"/>
    <hyperlink xmlns:r="http://schemas.openxmlformats.org/officeDocument/2006/relationships" ref="D47" r:id="rId26"/>
    <hyperlink xmlns:r="http://schemas.openxmlformats.org/officeDocument/2006/relationships" ref="D48" r:id="rId27"/>
    <hyperlink xmlns:r="http://schemas.openxmlformats.org/officeDocument/2006/relationships" ref="D49" r:id="rId28"/>
    <hyperlink xmlns:r="http://schemas.openxmlformats.org/officeDocument/2006/relationships" ref="D50" r:id="rId29"/>
    <hyperlink xmlns:r="http://schemas.openxmlformats.org/officeDocument/2006/relationships" ref="D51" r:id="rId30"/>
    <hyperlink xmlns:r="http://schemas.openxmlformats.org/officeDocument/2006/relationships" ref="D52" r:id="rId31"/>
    <hyperlink xmlns:r="http://schemas.openxmlformats.org/officeDocument/2006/relationships" ref="D53" r:id="rId32"/>
    <hyperlink xmlns:r="http://schemas.openxmlformats.org/officeDocument/2006/relationships" ref="D54" r:id="rId33"/>
    <hyperlink xmlns:r="http://schemas.openxmlformats.org/officeDocument/2006/relationships" ref="D55" r:id="rId34"/>
    <hyperlink xmlns:r="http://schemas.openxmlformats.org/officeDocument/2006/relationships" ref="D56" r:id="rId35"/>
    <hyperlink xmlns:r="http://schemas.openxmlformats.org/officeDocument/2006/relationships" ref="D57" r:id="rId36"/>
    <hyperlink xmlns:r="http://schemas.openxmlformats.org/officeDocument/2006/relationships" ref="D58" r:id="rId37"/>
    <hyperlink xmlns:r="http://schemas.openxmlformats.org/officeDocument/2006/relationships" ref="D59" r:id="rId38"/>
    <hyperlink xmlns:r="http://schemas.openxmlformats.org/officeDocument/2006/relationships" ref="D60" r:id="rId39"/>
    <hyperlink xmlns:r="http://schemas.openxmlformats.org/officeDocument/2006/relationships" ref="D61" r:id="rId40"/>
    <hyperlink xmlns:r="http://schemas.openxmlformats.org/officeDocument/2006/relationships" ref="D62" r:id="rId41"/>
    <hyperlink xmlns:r="http://schemas.openxmlformats.org/officeDocument/2006/relationships" ref="D63" r:id="rId42"/>
    <hyperlink xmlns:r="http://schemas.openxmlformats.org/officeDocument/2006/relationships" ref="D64" r:id="rId43"/>
    <hyperlink xmlns:r="http://schemas.openxmlformats.org/officeDocument/2006/relationships" ref="D65" r:id="rId44"/>
    <hyperlink xmlns:r="http://schemas.openxmlformats.org/officeDocument/2006/relationships" ref="D66" r:id="rId45"/>
    <hyperlink xmlns:r="http://schemas.openxmlformats.org/officeDocument/2006/relationships" ref="D67" r:id="rId46"/>
    <hyperlink xmlns:r="http://schemas.openxmlformats.org/officeDocument/2006/relationships" ref="D68" r:id="rId47"/>
    <hyperlink xmlns:r="http://schemas.openxmlformats.org/officeDocument/2006/relationships" ref="D69" r:id="rId48"/>
    <hyperlink xmlns:r="http://schemas.openxmlformats.org/officeDocument/2006/relationships" ref="D70" r:id="rId49"/>
    <hyperlink xmlns:r="http://schemas.openxmlformats.org/officeDocument/2006/relationships" ref="D71" r:id="rId50"/>
    <hyperlink xmlns:r="http://schemas.openxmlformats.org/officeDocument/2006/relationships" ref="D72" r:id="rId51"/>
    <hyperlink xmlns:r="http://schemas.openxmlformats.org/officeDocument/2006/relationships" ref="D73" r:id="rId52"/>
    <hyperlink xmlns:r="http://schemas.openxmlformats.org/officeDocument/2006/relationships" ref="D74" r:id="rId53"/>
    <hyperlink xmlns:r="http://schemas.openxmlformats.org/officeDocument/2006/relationships" ref="D75" r:id="rId54"/>
    <hyperlink xmlns:r="http://schemas.openxmlformats.org/officeDocument/2006/relationships" ref="D76" r:id="rId55"/>
    <hyperlink xmlns:r="http://schemas.openxmlformats.org/officeDocument/2006/relationships" ref="D77" r:id="rId56"/>
    <hyperlink xmlns:r="http://schemas.openxmlformats.org/officeDocument/2006/relationships" ref="D78" r:id="rId57"/>
    <hyperlink xmlns:r="http://schemas.openxmlformats.org/officeDocument/2006/relationships" ref="D79" r:id="rId58"/>
    <hyperlink xmlns:r="http://schemas.openxmlformats.org/officeDocument/2006/relationships" ref="D80" r:id="rId59"/>
    <hyperlink xmlns:r="http://schemas.openxmlformats.org/officeDocument/2006/relationships" ref="D81" r:id="rId60"/>
    <hyperlink xmlns:r="http://schemas.openxmlformats.org/officeDocument/2006/relationships" ref="D82" r:id="rId61"/>
    <hyperlink xmlns:r="http://schemas.openxmlformats.org/officeDocument/2006/relationships" ref="D83" r:id="rId62"/>
    <hyperlink xmlns:r="http://schemas.openxmlformats.org/officeDocument/2006/relationships" ref="D84" r:id="rId63"/>
    <hyperlink xmlns:r="http://schemas.openxmlformats.org/officeDocument/2006/relationships" ref="D85" r:id="rId64"/>
    <hyperlink xmlns:r="http://schemas.openxmlformats.org/officeDocument/2006/relationships" ref="D86" r:id="rId65"/>
    <hyperlink xmlns:r="http://schemas.openxmlformats.org/officeDocument/2006/relationships" ref="D87" r:id="rId66"/>
    <hyperlink xmlns:r="http://schemas.openxmlformats.org/officeDocument/2006/relationships" ref="D88" r:id="rId67"/>
    <hyperlink xmlns:r="http://schemas.openxmlformats.org/officeDocument/2006/relationships" ref="D89" r:id="rId68"/>
    <hyperlink xmlns:r="http://schemas.openxmlformats.org/officeDocument/2006/relationships" ref="D90" r:id="rId69"/>
    <hyperlink xmlns:r="http://schemas.openxmlformats.org/officeDocument/2006/relationships" ref="D91" r:id="rId70"/>
    <hyperlink xmlns:r="http://schemas.openxmlformats.org/officeDocument/2006/relationships" ref="D92" r:id="rId71"/>
    <hyperlink xmlns:r="http://schemas.openxmlformats.org/officeDocument/2006/relationships" ref="D93" r:id="rId72"/>
    <hyperlink xmlns:r="http://schemas.openxmlformats.org/officeDocument/2006/relationships" ref="D94" r:id="rId73"/>
    <hyperlink xmlns:r="http://schemas.openxmlformats.org/officeDocument/2006/relationships" ref="D95" r:id="rId74"/>
    <hyperlink xmlns:r="http://schemas.openxmlformats.org/officeDocument/2006/relationships" ref="D98" r:id="rId75"/>
    <hyperlink xmlns:r="http://schemas.openxmlformats.org/officeDocument/2006/relationships" ref="D99" r:id="rId76"/>
    <hyperlink xmlns:r="http://schemas.openxmlformats.org/officeDocument/2006/relationships" ref="D100" r:id="rId77"/>
    <hyperlink xmlns:r="http://schemas.openxmlformats.org/officeDocument/2006/relationships" ref="D101" r:id="rId78"/>
    <hyperlink xmlns:r="http://schemas.openxmlformats.org/officeDocument/2006/relationships" ref="D102" r:id="rId79"/>
    <hyperlink xmlns:r="http://schemas.openxmlformats.org/officeDocument/2006/relationships" ref="D104" r:id="rId80"/>
    <hyperlink xmlns:r="http://schemas.openxmlformats.org/officeDocument/2006/relationships" ref="D105" r:id="rId81"/>
    <hyperlink xmlns:r="http://schemas.openxmlformats.org/officeDocument/2006/relationships" ref="D106" r:id="rId82"/>
    <hyperlink xmlns:r="http://schemas.openxmlformats.org/officeDocument/2006/relationships" ref="D107" r:id="rId83"/>
    <hyperlink xmlns:r="http://schemas.openxmlformats.org/officeDocument/2006/relationships" ref="D108" r:id="rId84"/>
    <hyperlink xmlns:r="http://schemas.openxmlformats.org/officeDocument/2006/relationships" ref="D109" r:id="rId85"/>
    <hyperlink xmlns:r="http://schemas.openxmlformats.org/officeDocument/2006/relationships" ref="D111" r:id="rId86"/>
    <hyperlink xmlns:r="http://schemas.openxmlformats.org/officeDocument/2006/relationships" ref="D112" r:id="rId87"/>
    <hyperlink xmlns:r="http://schemas.openxmlformats.org/officeDocument/2006/relationships" ref="D113" r:id="rId88"/>
    <hyperlink xmlns:r="http://schemas.openxmlformats.org/officeDocument/2006/relationships" ref="D114" r:id="rId89"/>
    <hyperlink xmlns:r="http://schemas.openxmlformats.org/officeDocument/2006/relationships" ref="D115" r:id="rId90"/>
    <hyperlink xmlns:r="http://schemas.openxmlformats.org/officeDocument/2006/relationships" ref="D116" r:id="rId91"/>
    <hyperlink xmlns:r="http://schemas.openxmlformats.org/officeDocument/2006/relationships" ref="D118" r:id="rId92"/>
    <hyperlink xmlns:r="http://schemas.openxmlformats.org/officeDocument/2006/relationships" ref="D119" r:id="rId93"/>
    <hyperlink xmlns:r="http://schemas.openxmlformats.org/officeDocument/2006/relationships" ref="D120" r:id="rId94"/>
    <hyperlink xmlns:r="http://schemas.openxmlformats.org/officeDocument/2006/relationships" ref="D121" r:id="rId95"/>
    <hyperlink xmlns:r="http://schemas.openxmlformats.org/officeDocument/2006/relationships" ref="D122" r:id="rId96"/>
    <hyperlink xmlns:r="http://schemas.openxmlformats.org/officeDocument/2006/relationships" ref="D123" r:id="rId97"/>
    <hyperlink xmlns:r="http://schemas.openxmlformats.org/officeDocument/2006/relationships" ref="D124" r:id="rId98"/>
    <hyperlink xmlns:r="http://schemas.openxmlformats.org/officeDocument/2006/relationships" ref="D125" r:id="rId99"/>
    <hyperlink xmlns:r="http://schemas.openxmlformats.org/officeDocument/2006/relationships" ref="D126" r:id="rId100"/>
    <hyperlink xmlns:r="http://schemas.openxmlformats.org/officeDocument/2006/relationships" ref="D127" r:id="rId101"/>
    <hyperlink xmlns:r="http://schemas.openxmlformats.org/officeDocument/2006/relationships" ref="D128" r:id="rId102"/>
    <hyperlink xmlns:r="http://schemas.openxmlformats.org/officeDocument/2006/relationships" ref="D129" r:id="rId103"/>
    <hyperlink xmlns:r="http://schemas.openxmlformats.org/officeDocument/2006/relationships" ref="D130" r:id="rId104"/>
    <hyperlink xmlns:r="http://schemas.openxmlformats.org/officeDocument/2006/relationships" ref="D131" r:id="rId105"/>
    <hyperlink xmlns:r="http://schemas.openxmlformats.org/officeDocument/2006/relationships" ref="D132" r:id="rId106"/>
    <hyperlink xmlns:r="http://schemas.openxmlformats.org/officeDocument/2006/relationships" ref="D133" r:id="rId107"/>
    <hyperlink xmlns:r="http://schemas.openxmlformats.org/officeDocument/2006/relationships" ref="D134" r:id="rId108"/>
    <hyperlink xmlns:r="http://schemas.openxmlformats.org/officeDocument/2006/relationships" ref="D135" r:id="rId109"/>
    <hyperlink xmlns:r="http://schemas.openxmlformats.org/officeDocument/2006/relationships" ref="D137" r:id="rId110"/>
    <hyperlink xmlns:r="http://schemas.openxmlformats.org/officeDocument/2006/relationships" ref="D138" r:id="rId111"/>
    <hyperlink xmlns:r="http://schemas.openxmlformats.org/officeDocument/2006/relationships" ref="D139" r:id="rId112"/>
    <hyperlink xmlns:r="http://schemas.openxmlformats.org/officeDocument/2006/relationships" ref="D140" r:id="rId113"/>
    <hyperlink xmlns:r="http://schemas.openxmlformats.org/officeDocument/2006/relationships" ref="D141" r:id="rId114"/>
    <hyperlink xmlns:r="http://schemas.openxmlformats.org/officeDocument/2006/relationships" ref="D142" r:id="rId115"/>
    <hyperlink xmlns:r="http://schemas.openxmlformats.org/officeDocument/2006/relationships" ref="D144" r:id="rId116"/>
    <hyperlink xmlns:r="http://schemas.openxmlformats.org/officeDocument/2006/relationships" ref="D145" r:id="rId117"/>
    <hyperlink xmlns:r="http://schemas.openxmlformats.org/officeDocument/2006/relationships" ref="D146" r:id="rId118"/>
    <hyperlink xmlns:r="http://schemas.openxmlformats.org/officeDocument/2006/relationships" ref="D147" r:id="rId119"/>
    <hyperlink xmlns:r="http://schemas.openxmlformats.org/officeDocument/2006/relationships" ref="D148" r:id="rId120"/>
    <hyperlink xmlns:r="http://schemas.openxmlformats.org/officeDocument/2006/relationships" ref="D149" r:id="rId121"/>
    <hyperlink xmlns:r="http://schemas.openxmlformats.org/officeDocument/2006/relationships" ref="D151" r:id="rId122"/>
    <hyperlink xmlns:r="http://schemas.openxmlformats.org/officeDocument/2006/relationships" ref="D152" r:id="rId123"/>
    <hyperlink xmlns:r="http://schemas.openxmlformats.org/officeDocument/2006/relationships" ref="D153" r:id="rId124"/>
    <hyperlink xmlns:r="http://schemas.openxmlformats.org/officeDocument/2006/relationships" ref="D154" r:id="rId125"/>
    <hyperlink xmlns:r="http://schemas.openxmlformats.org/officeDocument/2006/relationships" ref="D155" r:id="rId126"/>
    <hyperlink xmlns:r="http://schemas.openxmlformats.org/officeDocument/2006/relationships" ref="D156" r:id="rId127"/>
    <hyperlink xmlns:r="http://schemas.openxmlformats.org/officeDocument/2006/relationships" ref="D158" r:id="rId128"/>
    <hyperlink xmlns:r="http://schemas.openxmlformats.org/officeDocument/2006/relationships" ref="D159" r:id="rId129"/>
    <hyperlink xmlns:r="http://schemas.openxmlformats.org/officeDocument/2006/relationships" ref="D160" r:id="rId130"/>
    <hyperlink xmlns:r="http://schemas.openxmlformats.org/officeDocument/2006/relationships" ref="D161" r:id="rId131"/>
    <hyperlink xmlns:r="http://schemas.openxmlformats.org/officeDocument/2006/relationships" ref="D162" r:id="rId132"/>
    <hyperlink xmlns:r="http://schemas.openxmlformats.org/officeDocument/2006/relationships" ref="D163" r:id="rId133"/>
    <hyperlink xmlns:r="http://schemas.openxmlformats.org/officeDocument/2006/relationships" ref="D165" r:id="rId134"/>
    <hyperlink xmlns:r="http://schemas.openxmlformats.org/officeDocument/2006/relationships" ref="D166" r:id="rId135"/>
    <hyperlink xmlns:r="http://schemas.openxmlformats.org/officeDocument/2006/relationships" ref="D167" r:id="rId136"/>
    <hyperlink xmlns:r="http://schemas.openxmlformats.org/officeDocument/2006/relationships" ref="D168" r:id="rId137"/>
    <hyperlink xmlns:r="http://schemas.openxmlformats.org/officeDocument/2006/relationships" ref="D169" r:id="rId138"/>
    <hyperlink xmlns:r="http://schemas.openxmlformats.org/officeDocument/2006/relationships" ref="D170" r:id="rId139"/>
    <hyperlink xmlns:r="http://schemas.openxmlformats.org/officeDocument/2006/relationships" ref="D172" r:id="rId140"/>
    <hyperlink xmlns:r="http://schemas.openxmlformats.org/officeDocument/2006/relationships" ref="D173" r:id="rId141"/>
    <hyperlink xmlns:r="http://schemas.openxmlformats.org/officeDocument/2006/relationships" ref="D174" r:id="rId142"/>
    <hyperlink xmlns:r="http://schemas.openxmlformats.org/officeDocument/2006/relationships" ref="D175" r:id="rId143"/>
    <hyperlink xmlns:r="http://schemas.openxmlformats.org/officeDocument/2006/relationships" ref="D176" r:id="rId144"/>
    <hyperlink xmlns:r="http://schemas.openxmlformats.org/officeDocument/2006/relationships" ref="D177" r:id="rId145"/>
    <hyperlink xmlns:r="http://schemas.openxmlformats.org/officeDocument/2006/relationships" ref="D179" r:id="rId146"/>
    <hyperlink xmlns:r="http://schemas.openxmlformats.org/officeDocument/2006/relationships" ref="D180" r:id="rId147"/>
    <hyperlink xmlns:r="http://schemas.openxmlformats.org/officeDocument/2006/relationships" ref="D181" r:id="rId148"/>
    <hyperlink xmlns:r="http://schemas.openxmlformats.org/officeDocument/2006/relationships" ref="D182" r:id="rId149"/>
    <hyperlink xmlns:r="http://schemas.openxmlformats.org/officeDocument/2006/relationships" ref="D183" r:id="rId150"/>
    <hyperlink xmlns:r="http://schemas.openxmlformats.org/officeDocument/2006/relationships" ref="D184" r:id="rId151"/>
    <hyperlink xmlns:r="http://schemas.openxmlformats.org/officeDocument/2006/relationships" ref="D186" r:id="rId152"/>
    <hyperlink xmlns:r="http://schemas.openxmlformats.org/officeDocument/2006/relationships" ref="D187" r:id="rId153"/>
    <hyperlink xmlns:r="http://schemas.openxmlformats.org/officeDocument/2006/relationships" ref="D188" r:id="rId154"/>
    <hyperlink xmlns:r="http://schemas.openxmlformats.org/officeDocument/2006/relationships" ref="D189" r:id="rId155"/>
    <hyperlink xmlns:r="http://schemas.openxmlformats.org/officeDocument/2006/relationships" ref="D190" r:id="rId156"/>
    <hyperlink xmlns:r="http://schemas.openxmlformats.org/officeDocument/2006/relationships" ref="D191" r:id="rId157"/>
    <hyperlink xmlns:r="http://schemas.openxmlformats.org/officeDocument/2006/relationships" ref="D192" r:id="rId158"/>
    <hyperlink xmlns:r="http://schemas.openxmlformats.org/officeDocument/2006/relationships" ref="D193" r:id="rId1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2026-10-26T22:41:43Z</dcterms:created>
  <dcterms:modified xmlns:dcterms="http://purl.org/dc/terms/" xmlns:xsi="http://www.w3.org/2001/XMLSchema-instance" xsi:type="dcterms:W3CDTF">2026-10-26T22:41:43Z</dcterms:modified>
</cp:coreProperties>
</file>