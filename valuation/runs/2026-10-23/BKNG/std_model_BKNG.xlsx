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odel" sheetId="2" state="visible" r:id="rId2"/>
    <sheet xmlns:r="http://schemas.openxmlformats.org/officeDocument/2006/relationships" name="Valuation" sheetId="3" state="visible" r:id="rId3"/>
    <sheet xmlns:r="http://schemas.openxmlformats.org/officeDocument/2006/relationships" name="Sensitivity" sheetId="4" state="visible" r:id="rId4"/>
    <sheet xmlns:r="http://schemas.openxmlformats.org/officeDocument/2006/relationships" name="Distribution" sheetId="5" state="visible" r:id="rId5"/>
    <sheet xmlns:r="http://schemas.openxmlformats.org/officeDocument/2006/relationships" name="Calc - research target (12m)" sheetId="6" state="visible" r:id="rId6"/>
    <sheet xmlns:r="http://schemas.openxmlformats.org/officeDocument/2006/relationships" name="Calc - bear" sheetId="7" state="visible" r:id="rId7"/>
    <sheet xmlns:r="http://schemas.openxmlformats.org/officeDocument/2006/relationships" name="Calc - base" sheetId="8" state="visible" r:id="rId8"/>
    <sheet xmlns:r="http://schemas.openxmlformats.org/officeDocument/2006/relationships" name="Calc - bull" sheetId="9" state="visible" r:id="rId9"/>
    <sheet xmlns:r="http://schemas.openxmlformats.org/officeDocument/2006/relationships" name="Agents" sheetId="10" state="visible" r:id="rId10"/>
    <sheet xmlns:r="http://schemas.openxmlformats.org/officeDocument/2006/relationships" name="Sources" sheetId="11" state="visible" r:id="rId11"/>
  </sheets>
  <definedNames/>
  <calcPr calcId="124519" fullCalcOnLoad="1"/>
</workbook>
</file>

<file path=xl/styles.xml><?xml version="1.0" encoding="utf-8"?>
<styleSheet xmlns="http://schemas.openxmlformats.org/spreadsheetml/2006/main">
  <numFmts count="12">
    <numFmt numFmtId="164" formatCode="yyyy-mm-dd"/>
    <numFmt numFmtId="165" formatCode="#,##0;(#,##0)"/>
    <numFmt numFmtId="166" formatCode="0.0%"/>
    <numFmt numFmtId="167" formatCode="0.00&quot;x&quot;"/>
    <numFmt numFmtId="168" formatCode="#,##0.0"/>
    <numFmt numFmtId="169" formatCode="$0.00"/>
    <numFmt numFmtId="170" formatCode="0.0"/>
    <numFmt numFmtId="171" formatCode="0.000"/>
    <numFmt numFmtId="172" formatCode="0.0000"/>
    <numFmt numFmtId="173" formatCode="0.0&quot;x&quot;"/>
    <numFmt numFmtId="174" formatCode="+0.0%;-0.0%;0.0%"/>
    <numFmt numFmtId="175" formatCode="yyyy-mm-dd hh:mm"/>
  </numFmts>
  <fonts count="9">
    <font>
      <name val="Calibri"/>
      <family val="2"/>
      <color theme="1"/>
      <sz val="11"/>
      <scheme val="minor"/>
    </font>
    <font>
      <b val="1"/>
    </font>
    <font>
      <color rgb="000000FF"/>
    </font>
    <font>
      <i val="1"/>
      <color rgb="00444444"/>
    </font>
    <font>
      <b val="1"/>
      <sz val="13"/>
    </font>
    <font>
      <i val="1"/>
      <color rgb="00666666"/>
    </font>
    <font>
      <color rgb="007030A0"/>
    </font>
    <font>
      <color rgb="00C55A11"/>
    </font>
    <font>
      <color rgb="00008000"/>
    </font>
  </fonts>
  <fills count="4">
    <fill>
      <patternFill/>
    </fill>
    <fill>
      <patternFill patternType="gray125"/>
    </fill>
    <fill>
      <patternFill patternType="solid">
        <fgColor rgb="00D9E2F0"/>
      </patternFill>
    </fill>
    <fill>
      <patternFill patternType="solid">
        <fgColor rgb="00E8EEF7"/>
      </patternFill>
    </fill>
  </fills>
  <borders count="1">
    <border>
      <left/>
      <right/>
      <top/>
      <bottom/>
      <diagonal/>
    </border>
  </borders>
  <cellStyleXfs count="1">
    <xf numFmtId="0" fontId="0" fillId="0" borderId="0"/>
  </cellStyleXfs>
  <cellXfs count="51">
    <xf numFmtId="0" fontId="0" fillId="0" borderId="0" pivotButton="0" quotePrefix="0" xfId="0"/>
    <xf numFmtId="0" fontId="4" fillId="0" borderId="0" pivotButton="0" quotePrefix="0" xfId="0"/>
    <xf numFmtId="0" fontId="5" fillId="0" borderId="0" pivotButton="0" quotePrefix="0" xfId="0"/>
    <xf numFmtId="0" fontId="1" fillId="3" borderId="0" pivotButton="0" quotePrefix="0" xfId="0"/>
    <xf numFmtId="2" fontId="8" fillId="0" borderId="0" pivotButton="0" quotePrefix="0" xfId="0"/>
    <xf numFmtId="175" fontId="0" fillId="0" borderId="0" pivotButton="0" quotePrefix="0" xfId="0"/>
    <xf numFmtId="2" fontId="1" fillId="0" borderId="0" pivotButton="0" quotePrefix="0" xfId="0"/>
    <xf numFmtId="166" fontId="1" fillId="0" borderId="0" pivotButton="0" quotePrefix="0" xfId="0"/>
    <xf numFmtId="164" fontId="8" fillId="0" borderId="0" pivotButton="0" quotePrefix="0" xfId="0"/>
    <xf numFmtId="2" fontId="0" fillId="0" borderId="0" pivotButton="0" quotePrefix="0" xfId="0"/>
    <xf numFmtId="165" fontId="8" fillId="0" borderId="0" pivotButton="0" quotePrefix="0" xfId="0"/>
    <xf numFmtId="0" fontId="3" fillId="0" borderId="0" pivotButton="0" quotePrefix="0" xfId="0"/>
    <xf numFmtId="166" fontId="8" fillId="0" borderId="0" pivotButton="0" quotePrefix="0" xfId="0"/>
    <xf numFmtId="169" fontId="8" fillId="0" borderId="0" pivotButton="0" quotePrefix="0" xfId="0"/>
    <xf numFmtId="0" fontId="6" fillId="0" borderId="0" pivotButton="0" quotePrefix="0" xfId="0"/>
    <xf numFmtId="169" fontId="6" fillId="0" borderId="0" pivotButton="0" quotePrefix="0" xfId="0"/>
    <xf numFmtId="0" fontId="7" fillId="0" borderId="0" pivotButton="0" quotePrefix="0" xfId="0"/>
    <xf numFmtId="169" fontId="7" fillId="0" borderId="0" pivotButton="0" quotePrefix="0" xfId="0"/>
    <xf numFmtId="0" fontId="8" fillId="0" borderId="0" pivotButton="0" quotePrefix="0" xfId="0"/>
    <xf numFmtId="0" fontId="8" fillId="0" borderId="0" applyAlignment="1" pivotButton="0" quotePrefix="0" xfId="0">
      <alignment vertical="top" wrapText="1"/>
    </xf>
    <xf numFmtId="166" fontId="0" fillId="0" borderId="0" pivotButton="0" quotePrefix="0" xfId="0"/>
    <xf numFmtId="0" fontId="1" fillId="0" borderId="0" pivotButton="0" quotePrefix="0" xfId="0"/>
    <xf numFmtId="164" fontId="0" fillId="0" borderId="0" pivotButton="0" quotePrefix="0" xfId="0"/>
    <xf numFmtId="0" fontId="1" fillId="2" borderId="0" pivotButton="0" quotePrefix="0" xfId="0"/>
    <xf numFmtId="0" fontId="0" fillId="2" borderId="0" pivotButton="0" quotePrefix="0" xfId="0"/>
    <xf numFmtId="165" fontId="0" fillId="0" borderId="0" pivotButton="0" quotePrefix="0" xfId="0"/>
    <xf numFmtId="165" fontId="1" fillId="0" borderId="0" pivotButton="0" quotePrefix="0" xfId="0"/>
    <xf numFmtId="166" fontId="3" fillId="0" borderId="0" pivotButton="0" quotePrefix="0" xfId="0"/>
    <xf numFmtId="168" fontId="0" fillId="0" borderId="0" pivotButton="0" quotePrefix="0" xfId="0"/>
    <xf numFmtId="169" fontId="0" fillId="0" borderId="0" pivotButton="0" quotePrefix="0" xfId="0"/>
    <xf numFmtId="169" fontId="1" fillId="0" borderId="0" pivotButton="0" quotePrefix="0" xfId="0"/>
    <xf numFmtId="166" fontId="2" fillId="0" borderId="0" pivotButton="0" quotePrefix="0" xfId="0"/>
    <xf numFmtId="165" fontId="2" fillId="0" borderId="0" pivotButton="0" quotePrefix="0" xfId="0"/>
    <xf numFmtId="4" fontId="8" fillId="0" borderId="0" pivotButton="0" quotePrefix="0" xfId="0"/>
    <xf numFmtId="168" fontId="8" fillId="0" borderId="0" pivotButton="0" quotePrefix="0" xfId="0"/>
    <xf numFmtId="164" fontId="2" fillId="0" borderId="0" pivotButton="0" quotePrefix="0" xfId="0"/>
    <xf numFmtId="0" fontId="2" fillId="0" borderId="0" pivotButton="0" quotePrefix="0" xfId="0"/>
    <xf numFmtId="167" fontId="2" fillId="0" borderId="0" pivotButton="0" quotePrefix="0" xfId="0"/>
    <xf numFmtId="168" fontId="2" fillId="0" borderId="0" pivotButton="0" quotePrefix="0" xfId="0"/>
    <xf numFmtId="2" fontId="2" fillId="0" borderId="0" pivotButton="0" quotePrefix="0" xfId="0"/>
    <xf numFmtId="169" fontId="2" fillId="0" borderId="0" pivotButton="0" quotePrefix="0" xfId="0"/>
    <xf numFmtId="170" fontId="2" fillId="0" borderId="0" pivotButton="0" quotePrefix="0" xfId="0"/>
    <xf numFmtId="0" fontId="0" fillId="0" borderId="0" applyAlignment="1" pivotButton="0" quotePrefix="0" xfId="0">
      <alignment vertical="top" wrapText="1"/>
    </xf>
    <xf numFmtId="173" fontId="1" fillId="0" borderId="0" pivotButton="0" quotePrefix="0" xfId="0"/>
    <xf numFmtId="174" fontId="1" fillId="0" borderId="0" pivotButton="0" quotePrefix="0" xfId="0"/>
    <xf numFmtId="172" fontId="0" fillId="0" borderId="0" pivotButton="0" quotePrefix="0" xfId="0"/>
    <xf numFmtId="170" fontId="0" fillId="0" borderId="0" pivotButton="0" quotePrefix="0" xfId="0"/>
    <xf numFmtId="171" fontId="0" fillId="0" borderId="0" pivotButton="0" quotePrefix="0" xfId="0"/>
    <xf numFmtId="4" fontId="0" fillId="0" borderId="0" pivotButton="0" quotePrefix="0" xfId="0"/>
    <xf numFmtId="170" fontId="8" fillId="0" borderId="0" pivotButton="0" quotePrefix="0" xfId="0"/>
    <xf numFmtId="17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hyperlink" Target="https://www.sec.gov/Archives/edgar/data/1075531/000107553126000036/q2-26bkngearningsrelease.htm" TargetMode="External" Id="rId1"/><Relationship Type="http://schemas.openxmlformats.org/officeDocument/2006/relationships/hyperlink" Target="https://www.sec.gov/Archives/edgar/data/1075531/000107553126000037/bkng-20260630.htm" TargetMode="External" Id="rId2"/><Relationship Type="http://schemas.openxmlformats.org/officeDocument/2006/relationships/hyperlink" Target="https://www.sec.gov/Archives/edgar/data/1324424/000132442426000051/earningsrelease-q22026.htm" TargetMode="External" Id="rId3"/><Relationship Type="http://schemas.openxmlformats.org/officeDocument/2006/relationships/hyperlink" Target="https://www.sec.gov/Archives/edgar/data/1559720/000119312526337928/d70413dex991.htm" TargetMode="External" Id="rId4"/><Relationship Type="http://schemas.openxmlformats.org/officeDocument/2006/relationships/hyperlink" Target="https://data.sec.gov/submissions/CIK0001075531.json" TargetMode="External" Id="rId5"/><Relationship Type="http://schemas.openxmlformats.org/officeDocument/2006/relationships/hyperlink" Target="https://www.bookingholdings.com/press-releases/feed/" TargetMode="External" Id="rId6"/><Relationship Type="http://schemas.openxmlformats.org/officeDocument/2006/relationships/hyperlink" Target="https://techcrunch.com/2026/09/10/metas-ai-agent-muse-is-now-the-no-2-app-in-the-us/" TargetMode="External" Id="rId7"/><Relationship Type="http://schemas.openxmlformats.org/officeDocument/2006/relationships/hyperlink" Target="https://borncity.com/news/meta-muse-ki-agent-erreicht-25-millionen-downloads-in-13-tagen/" TargetMode="External" Id="rId8"/><Relationship Type="http://schemas.openxmlformats.org/officeDocument/2006/relationships/hyperlink" Target="https://www.hospitalitynet.org/news/4134140/" TargetMode="External" Id="rId9"/><Relationship Type="http://schemas.openxmlformats.org/officeDocument/2006/relationships/hyperlink" Target="https://stockanalysis.com/stocks/bkng/forecast/" TargetMode="External" Id="rId10"/><Relationship Type="http://schemas.openxmlformats.org/officeDocument/2006/relationships/hyperlink" Target="https://api.twelvedata.com/time_series" TargetMode="External" Id="rId11"/><Relationship Type="http://schemas.openxmlformats.org/officeDocument/2006/relationships/hyperlink" Target="https://api.nasdaq.com/api/analyst/EXPE/earnings-forecast" TargetMode="External" Id="rId12"/><Relationship Type="http://schemas.openxmlformats.org/officeDocument/2006/relationships/hyperlink" Target="https://api.nasdaq.com/api/analyst/ABNB/earnings-forecast" TargetMode="External" Id="rId13"/><Relationship Type="http://schemas.openxmlformats.org/officeDocument/2006/relationships/hyperlink" Target="https://api.nasdaq.com/api/analyst/UBER/earnings-forecast" TargetMode="External" Id="rId14"/><Relationship Type="http://schemas.openxmlformats.org/officeDocument/2006/relationships/hyperlink" Target="https://api.nasdaq.com/api/analyst/BKNG/earnings-forecast" TargetMode="External" Id="rId15"/><Relationship Type="http://schemas.openxmlformats.org/officeDocument/2006/relationships/hyperlink" Target="https://www.marketscreener.com/quote/stock/AMADEUS-IT-GROUP-S-A-4027320/finances/" TargetMode="External" Id="rId16"/><Relationship Type="http://schemas.openxmlformats.org/officeDocument/2006/relationships/hyperlink" Target="https://amadeus.com/en/newsroom/press-releases/amadeus-fy-2025-results-revenue-growth" TargetMode="External" Id="rId17"/><Relationship Type="http://schemas.openxmlformats.org/officeDocument/2006/relationships/hyperlink" Target="https://www.sec.gov/Archives/edgar/data/1324424/000132442426000005/earningsrelease-q42025.htm" TargetMode="External" Id="rId18"/><Relationship Type="http://schemas.openxmlformats.org/officeDocument/2006/relationships/hyperlink" Target="https://www.sec.gov/Archives/edgar/data/1075531/000107553126000008/q4-25bkngearningsrelease.htm" TargetMode="External" Id="rId19"/><Relationship Type="http://schemas.openxmlformats.org/officeDocument/2006/relationships/hyperlink" Target="https://query1.finance.yahoo.com/v8/finance/chart/" TargetMode="External" Id="rId20"/><Relationship Type="http://schemas.openxmlformats.org/officeDocument/2006/relationships/hyperlink" Target="https://api.nasdaq.com/api/company/EXPE/earnings-surprise" TargetMode="External" Id="rId21"/><Relationship Type="http://schemas.openxmlformats.org/officeDocument/2006/relationships/hyperlink" Target="https://api.nasdaq.com/api/company/BKNG/earnings-surprise" TargetMode="External" Id="rId22"/><Relationship Type="http://schemas.openxmlformats.org/officeDocument/2006/relationships/hyperlink" Target="https://api.nasdaq.com/api/company/ABNB/earnings-surprise" TargetMode="External" Id="rId23"/><Relationship Type="http://schemas.openxmlformats.org/officeDocument/2006/relationships/hyperlink" Target="https://api.nasdaq.com/api/company/UBER/earnings-surprise" TargetMode="External" Id="rId24"/><Relationship Type="http://schemas.openxmlformats.org/officeDocument/2006/relationships/hyperlink" Target="https://data.sec.gov/api/xbrl/companyfacts/CIK0001559720.json" TargetMode="External" Id="rId25"/><Relationship Type="http://schemas.openxmlformats.org/officeDocument/2006/relationships/hyperlink" Target="https://www.sec.gov/Archives/edgar/data/1075531/000107553126000009/" TargetMode="External" Id="rId26"/><Relationship Type="http://schemas.openxmlformats.org/officeDocument/2006/relationships/hyperlink" Target="https://www.sec.gov/Archives/edgar/data/1075531/000107553126000009/" TargetMode="External" Id="rId27"/><Relationship Type="http://schemas.openxmlformats.org/officeDocument/2006/relationships/hyperlink" Target="https://www.sec.gov/Archives/edgar/data/1075531/000107553126000009/" TargetMode="External" Id="rId28"/><Relationship Type="http://schemas.openxmlformats.org/officeDocument/2006/relationships/hyperlink" Target="https://www.sec.gov/Archives/edgar/data/1075531/000107553126000037/" TargetMode="External" Id="rId29"/><Relationship Type="http://schemas.openxmlformats.org/officeDocument/2006/relationships/hyperlink" Target="https://www.sec.gov/Archives/edgar/data/1075531/000107553126000037/" TargetMode="External" Id="rId30"/><Relationship Type="http://schemas.openxmlformats.org/officeDocument/2006/relationships/hyperlink" Target="https://www.sec.gov/Archives/edgar/data/1075531/000107553126000037/" TargetMode="External" Id="rId31"/><Relationship Type="http://schemas.openxmlformats.org/officeDocument/2006/relationships/hyperlink" Target="https://www.sec.gov/Archives/edgar/data/1075531/000107553126000009/" TargetMode="External" Id="rId32"/><Relationship Type="http://schemas.openxmlformats.org/officeDocument/2006/relationships/hyperlink" Target="https://www.sec.gov/Archives/edgar/data/1075531/000107553126000009/" TargetMode="External" Id="rId33"/><Relationship Type="http://schemas.openxmlformats.org/officeDocument/2006/relationships/hyperlink" Target="https://www.sec.gov/Archives/edgar/data/1075531/000107553126000009/" TargetMode="External" Id="rId34"/><Relationship Type="http://schemas.openxmlformats.org/officeDocument/2006/relationships/hyperlink" Target="https://www.sec.gov/Archives/edgar/data/1075531/000107553126000037/" TargetMode="External" Id="rId35"/><Relationship Type="http://schemas.openxmlformats.org/officeDocument/2006/relationships/hyperlink" Target="https://www.sec.gov/Archives/edgar/data/1075531/000107553126000037/" TargetMode="External" Id="rId36"/><Relationship Type="http://schemas.openxmlformats.org/officeDocument/2006/relationships/hyperlink" Target="https://www.sec.gov/Archives/edgar/data/1075531/000107553126000037/" TargetMode="External" Id="rId37"/><Relationship Type="http://schemas.openxmlformats.org/officeDocument/2006/relationships/hyperlink" Target="https://www.sec.gov/Archives/edgar/data/1075531/000107553126000009/" TargetMode="External" Id="rId38"/><Relationship Type="http://schemas.openxmlformats.org/officeDocument/2006/relationships/hyperlink" Target="https://www.sec.gov/Archives/edgar/data/1075531/000107553126000009/" TargetMode="External" Id="rId39"/><Relationship Type="http://schemas.openxmlformats.org/officeDocument/2006/relationships/hyperlink" Target="https://www.sec.gov/Archives/edgar/data/1075531/000107553126000009/" TargetMode="External" Id="rId40"/><Relationship Type="http://schemas.openxmlformats.org/officeDocument/2006/relationships/hyperlink" Target="https://www.sec.gov/Archives/edgar/data/1075531/000107553126000037/" TargetMode="External" Id="rId41"/><Relationship Type="http://schemas.openxmlformats.org/officeDocument/2006/relationships/hyperlink" Target="https://www.sec.gov/Archives/edgar/data/1075531/000107553126000037/" TargetMode="External" Id="rId42"/><Relationship Type="http://schemas.openxmlformats.org/officeDocument/2006/relationships/hyperlink" Target="https://www.sec.gov/Archives/edgar/data/1075531/000107553126000037/" TargetMode="External" Id="rId43"/><Relationship Type="http://schemas.openxmlformats.org/officeDocument/2006/relationships/hyperlink" Target="https://www.sec.gov/Archives/edgar/data/1075531/000107553126000009/" TargetMode="External" Id="rId44"/><Relationship Type="http://schemas.openxmlformats.org/officeDocument/2006/relationships/hyperlink" Target="https://www.sec.gov/Archives/edgar/data/1075531/000107553126000009/" TargetMode="External" Id="rId45"/><Relationship Type="http://schemas.openxmlformats.org/officeDocument/2006/relationships/hyperlink" Target="https://www.sec.gov/Archives/edgar/data/1075531/000107553126000009/" TargetMode="External" Id="rId46"/><Relationship Type="http://schemas.openxmlformats.org/officeDocument/2006/relationships/hyperlink" Target="https://www.sec.gov/Archives/edgar/data/1075531/000107553126000037/" TargetMode="External" Id="rId47"/><Relationship Type="http://schemas.openxmlformats.org/officeDocument/2006/relationships/hyperlink" Target="https://www.sec.gov/Archives/edgar/data/1075531/000107553126000037/" TargetMode="External" Id="rId48"/><Relationship Type="http://schemas.openxmlformats.org/officeDocument/2006/relationships/hyperlink" Target="https://www.sec.gov/Archives/edgar/data/1075531/000107553126000037/" TargetMode="External" Id="rId49"/><Relationship Type="http://schemas.openxmlformats.org/officeDocument/2006/relationships/hyperlink" Target="https://www.sec.gov/Archives/edgar/data/1075531/000107553126000009/" TargetMode="External" Id="rId50"/><Relationship Type="http://schemas.openxmlformats.org/officeDocument/2006/relationships/hyperlink" Target="https://www.sec.gov/Archives/edgar/data/1075531/000107553126000009/" TargetMode="External" Id="rId51"/><Relationship Type="http://schemas.openxmlformats.org/officeDocument/2006/relationships/hyperlink" Target="https://www.sec.gov/Archives/edgar/data/1075531/000107553126000009/" TargetMode="External" Id="rId52"/><Relationship Type="http://schemas.openxmlformats.org/officeDocument/2006/relationships/hyperlink" Target="https://www.sec.gov/Archives/edgar/data/1075531/000107553126000037/" TargetMode="External" Id="rId53"/><Relationship Type="http://schemas.openxmlformats.org/officeDocument/2006/relationships/hyperlink" Target="https://www.sec.gov/Archives/edgar/data/1075531/000107553126000037/" TargetMode="External" Id="rId54"/><Relationship Type="http://schemas.openxmlformats.org/officeDocument/2006/relationships/hyperlink" Target="https://www.sec.gov/Archives/edgar/data/1075531/000107553126000025/" TargetMode="External" Id="rId55"/><Relationship Type="http://schemas.openxmlformats.org/officeDocument/2006/relationships/hyperlink" Target="https://www.sec.gov/Archives/edgar/data/1075531/000107553126000009/" TargetMode="External" Id="rId56"/><Relationship Type="http://schemas.openxmlformats.org/officeDocument/2006/relationships/hyperlink" Target="https://www.sec.gov/Archives/edgar/data/1075531/000107553126000009/" TargetMode="External" Id="rId57"/><Relationship Type="http://schemas.openxmlformats.org/officeDocument/2006/relationships/hyperlink" Target="https://www.sec.gov/Archives/edgar/data/1075531/000107553126000009/" TargetMode="External" Id="rId58"/><Relationship Type="http://schemas.openxmlformats.org/officeDocument/2006/relationships/hyperlink" Target="https://www.sec.gov/Archives/edgar/data/1075531/000107553126000037/" TargetMode="External" Id="rId59"/><Relationship Type="http://schemas.openxmlformats.org/officeDocument/2006/relationships/hyperlink" Target="https://www.sec.gov/Archives/edgar/data/1075531/000107553126000037/" TargetMode="External" Id="rId60"/><Relationship Type="http://schemas.openxmlformats.org/officeDocument/2006/relationships/hyperlink" Target="https://www.sec.gov/Archives/edgar/data/1075531/000107553126000025/" TargetMode="External" Id="rId61"/><Relationship Type="http://schemas.openxmlformats.org/officeDocument/2006/relationships/hyperlink" Target="https://www.sec.gov/Archives/edgar/data/1075531/000107553126000009/" TargetMode="External" Id="rId62"/><Relationship Type="http://schemas.openxmlformats.org/officeDocument/2006/relationships/hyperlink" Target="https://www.sec.gov/Archives/edgar/data/1075531/000107553126000009/" TargetMode="External" Id="rId63"/><Relationship Type="http://schemas.openxmlformats.org/officeDocument/2006/relationships/hyperlink" Target="https://www.sec.gov/Archives/edgar/data/1075531/000107553126000009/" TargetMode="External" Id="rId64"/><Relationship Type="http://schemas.openxmlformats.org/officeDocument/2006/relationships/hyperlink" Target="https://www.sec.gov/Archives/edgar/data/1075531/000107553126000037/" TargetMode="External" Id="rId65"/><Relationship Type="http://schemas.openxmlformats.org/officeDocument/2006/relationships/hyperlink" Target="https://www.sec.gov/Archives/edgar/data/1075531/000107553126000037/" TargetMode="External" Id="rId66"/><Relationship Type="http://schemas.openxmlformats.org/officeDocument/2006/relationships/hyperlink" Target="https://www.sec.gov/Archives/edgar/data/1075531/000107553126000025/" TargetMode="External" Id="rId67"/><Relationship Type="http://schemas.openxmlformats.org/officeDocument/2006/relationships/hyperlink" Target="https://www.sec.gov/Archives/edgar/data/1075531/000107553126000009/" TargetMode="External" Id="rId68"/><Relationship Type="http://schemas.openxmlformats.org/officeDocument/2006/relationships/hyperlink" Target="https://www.sec.gov/Archives/edgar/data/1075531/000107553126000009/" TargetMode="External" Id="rId69"/><Relationship Type="http://schemas.openxmlformats.org/officeDocument/2006/relationships/hyperlink" Target="https://www.sec.gov/Archives/edgar/data/1075531/000107553126000009/" TargetMode="External" Id="rId70"/><Relationship Type="http://schemas.openxmlformats.org/officeDocument/2006/relationships/hyperlink" Target="https://www.sec.gov/Archives/edgar/data/1075531/000107553126000037/" TargetMode="External" Id="rId71"/><Relationship Type="http://schemas.openxmlformats.org/officeDocument/2006/relationships/hyperlink" Target="https://www.sec.gov/Archives/edgar/data/1075531/000107553126000037/" TargetMode="External" Id="rId72"/><Relationship Type="http://schemas.openxmlformats.org/officeDocument/2006/relationships/hyperlink" Target="https://www.sec.gov/Archives/edgar/data/1075531/000107553126000025/" TargetMode="External" Id="rId73"/><Relationship Type="http://schemas.openxmlformats.org/officeDocument/2006/relationships/hyperlink" Target="https://www.sec.gov/Archives/edgar/data/1075531/000107553126000009/" TargetMode="External" Id="rId74"/><Relationship Type="http://schemas.openxmlformats.org/officeDocument/2006/relationships/hyperlink" Target="https://www.sec.gov/Archives/edgar/data/1075531/000107553126000009/" TargetMode="External" Id="rId75"/><Relationship Type="http://schemas.openxmlformats.org/officeDocument/2006/relationships/hyperlink" Target="https://www.sec.gov/Archives/edgar/data/1075531/000107553126000009/" TargetMode="External" Id="rId76"/><Relationship Type="http://schemas.openxmlformats.org/officeDocument/2006/relationships/hyperlink" Target="https://www.sec.gov/Archives/edgar/data/1075531/000107553126000037/" TargetMode="External" Id="rId77"/><Relationship Type="http://schemas.openxmlformats.org/officeDocument/2006/relationships/hyperlink" Target="https://www.sec.gov/Archives/edgar/data/1075531/000107553126000037/" TargetMode="External" Id="rId78"/><Relationship Type="http://schemas.openxmlformats.org/officeDocument/2006/relationships/hyperlink" Target="https://www.sec.gov/Archives/edgar/data/1075531/000107553126000025/" TargetMode="External" Id="rId79"/><Relationship Type="http://schemas.openxmlformats.org/officeDocument/2006/relationships/hyperlink" Target="https://www.sec.gov/Archives/edgar/data/1075531/000107553126000009/" TargetMode="External" Id="rId80"/><Relationship Type="http://schemas.openxmlformats.org/officeDocument/2006/relationships/hyperlink" Target="https://www.sec.gov/Archives/edgar/data/1075531/000107553126000009/" TargetMode="External" Id="rId81"/><Relationship Type="http://schemas.openxmlformats.org/officeDocument/2006/relationships/hyperlink" Target="https://www.sec.gov/Archives/edgar/data/1075531/000107553126000009/" TargetMode="External" Id="rId82"/><Relationship Type="http://schemas.openxmlformats.org/officeDocument/2006/relationships/hyperlink" Target="https://www.sec.gov/Archives/edgar/data/1075531/000107553126000037/" TargetMode="External" Id="rId83"/><Relationship Type="http://schemas.openxmlformats.org/officeDocument/2006/relationships/hyperlink" Target="https://www.sec.gov/Archives/edgar/data/1075531/000107553126000037/" TargetMode="External" Id="rId84"/><Relationship Type="http://schemas.openxmlformats.org/officeDocument/2006/relationships/hyperlink" Target="https://www.sec.gov/Archives/edgar/data/1075531/000107553126000037/" TargetMode="External" Id="rId85"/><Relationship Type="http://schemas.openxmlformats.org/officeDocument/2006/relationships/hyperlink" Target="https://www.sec.gov/Archives/edgar/data/1075531/000107553126000009/" TargetMode="External" Id="rId86"/><Relationship Type="http://schemas.openxmlformats.org/officeDocument/2006/relationships/hyperlink" Target="https://www.sec.gov/Archives/edgar/data/1075531/000107553126000009/" TargetMode="External" Id="rId87"/><Relationship Type="http://schemas.openxmlformats.org/officeDocument/2006/relationships/hyperlink" Target="https://www.sec.gov/Archives/edgar/data/1075531/000107553126000009/" TargetMode="External" Id="rId88"/><Relationship Type="http://schemas.openxmlformats.org/officeDocument/2006/relationships/hyperlink" Target="https://www.sec.gov/Archives/edgar/data/1075531/000107553126000037/" TargetMode="External" Id="rId89"/><Relationship Type="http://schemas.openxmlformats.org/officeDocument/2006/relationships/hyperlink" Target="https://www.sec.gov/Archives/edgar/data/1075531/000107553126000037/" TargetMode="External" Id="rId90"/><Relationship Type="http://schemas.openxmlformats.org/officeDocument/2006/relationships/hyperlink" Target="https://www.sec.gov/Archives/edgar/data/1075531/000107553126000037/" TargetMode="External" Id="rId91"/><Relationship Type="http://schemas.openxmlformats.org/officeDocument/2006/relationships/hyperlink" Target="https://www.sec.gov/Archives/edgar/data/1075531/000107553126000009/" TargetMode="External" Id="rId92"/><Relationship Type="http://schemas.openxmlformats.org/officeDocument/2006/relationships/hyperlink" Target="https://www.sec.gov/Archives/edgar/data/1075531/000107553126000009/" TargetMode="External" Id="rId93"/><Relationship Type="http://schemas.openxmlformats.org/officeDocument/2006/relationships/hyperlink" Target="https://www.sec.gov/Archives/edgar/data/1075531/000107553126000009/" TargetMode="External" Id="rId94"/><Relationship Type="http://schemas.openxmlformats.org/officeDocument/2006/relationships/hyperlink" Target="https://www.sec.gov/Archives/edgar/data/1075531/000107553126000037/" TargetMode="External" Id="rId95"/><Relationship Type="http://schemas.openxmlformats.org/officeDocument/2006/relationships/hyperlink" Target="https://www.sec.gov/Archives/edgar/data/1075531/000107553126000037/" TargetMode="External" Id="rId96"/><Relationship Type="http://schemas.openxmlformats.org/officeDocument/2006/relationships/hyperlink" Target="https://www.sec.gov/Archives/edgar/data/1075531/000107553126000037/" TargetMode="External" Id="rId97"/><Relationship Type="http://schemas.openxmlformats.org/officeDocument/2006/relationships/hyperlink" Target="https://www.sec.gov/Archives/edgar/data/1075531/000107553126000037/" TargetMode="External" Id="rId98"/><Relationship Type="http://schemas.openxmlformats.org/officeDocument/2006/relationships/hyperlink" Target="https://www.sec.gov/Archives/edgar/data/1075531/000107553126000037/" TargetMode="External" Id="rId99"/><Relationship Type="http://schemas.openxmlformats.org/officeDocument/2006/relationships/hyperlink" Target="https://www.sec.gov/Archives/edgar/data/1075531/000107553126000037/" TargetMode="External" Id="rId100"/><Relationship Type="http://schemas.openxmlformats.org/officeDocument/2006/relationships/hyperlink" Target="https://www.sec.gov/Archives/edgar/data/1075531/000107553126000037/" TargetMode="External" Id="rId101"/><Relationship Type="http://schemas.openxmlformats.org/officeDocument/2006/relationships/hyperlink" Target="https://www.sec.gov/Archives/edgar/data/1075531/000107553126000037/" TargetMode="External" Id="rId102"/></Relationships>
</file>

<file path=xl/worksheets/sheet1.xml><?xml version="1.0" encoding="utf-8"?>
<worksheet xmlns="http://schemas.openxmlformats.org/spreadsheetml/2006/main">
  <sheetPr>
    <outlinePr summaryBelow="1" summaryRight="1"/>
    <pageSetUpPr/>
  </sheetPr>
  <dimension ref="A1:D59"/>
  <sheetViews>
    <sheetView showGridLines="0" workbookViewId="0">
      <selection activeCell="A1" sqref="A1"/>
    </sheetView>
  </sheetViews>
  <sheetFormatPr baseColWidth="8" defaultRowHeight="15"/>
  <cols>
    <col width="58" customWidth="1" min="1" max="1"/>
    <col width="16" customWidth="1" min="2" max="2"/>
    <col width="16" customWidth="1" min="3" max="3"/>
    <col width="70" customWidth="1" min="4" max="4"/>
  </cols>
  <sheetData>
    <row r="1">
      <c r="A1" s="1" t="inlineStr">
        <is>
          <t>BKNG standard model (trial) · research run 2026-10-23</t>
        </is>
      </c>
    </row>
    <row r="2">
      <c r="A2" s="2" t="inlineStr">
        <is>
          <t>The supervisor's reconciled assumption set as a live model. Trial: shown beside the blended page target, not used for trade levels until its weight is decided. Edit blue cells on Model (drivers) and Valuation (assumptions).</t>
        </is>
      </c>
    </row>
    <row r="3">
      <c r="A3" s="3" t="inlineStr">
        <is>
          <t>Price target box</t>
        </is>
      </c>
      <c r="B3" s="3" t="inlineStr">
        <is>
          <t>Value</t>
        </is>
      </c>
    </row>
    <row r="4">
      <c r="A4" t="inlineStr">
        <is>
          <t>Live price</t>
        </is>
      </c>
      <c r="B4" s="4">
        <f>IFERROR(GOOGLEFINANCE("BKNG","price"),Valuation!$B$67)</f>
        <v/>
      </c>
    </row>
    <row r="5">
      <c r="A5" t="inlineStr">
        <is>
          <t>Price as of</t>
        </is>
      </c>
      <c r="B5" s="5">
        <f>NOW()</f>
        <v/>
      </c>
    </row>
    <row r="6">
      <c r="A6" t="inlineStr">
        <is>
          <t>Model target (12-month median)</t>
        </is>
      </c>
      <c r="B6" s="6">
        <f>Distribution!$B$13</f>
        <v/>
      </c>
    </row>
    <row r="7">
      <c r="A7" t="inlineStr">
        <is>
          <t>Upside to model target from live price</t>
        </is>
      </c>
      <c r="B7" s="7">
        <f>B6/B4-1</f>
        <v/>
      </c>
    </row>
    <row r="8">
      <c r="A8" t="inlineStr">
        <is>
          <t>Research target (12m) (no scenario deltas)</t>
        </is>
      </c>
      <c r="B8" s="4">
        <f>Valuation!$D$7</f>
        <v/>
      </c>
    </row>
    <row r="9">
      <c r="A9" t="inlineStr">
        <is>
          <t>Probability-weighted mean</t>
        </is>
      </c>
      <c r="B9" s="4">
        <f>Distribution!$B$10</f>
        <v/>
      </c>
    </row>
    <row r="10">
      <c r="A10" t="inlineStr">
        <is>
          <t>10th percentile</t>
        </is>
      </c>
      <c r="B10" s="4">
        <f>Distribution!$B$14</f>
        <v/>
      </c>
    </row>
    <row r="11">
      <c r="A11" t="inlineStr">
        <is>
          <t>25th percentile</t>
        </is>
      </c>
      <c r="B11" s="4">
        <f>Distribution!$B$15</f>
        <v/>
      </c>
    </row>
    <row r="12">
      <c r="A12" t="inlineStr">
        <is>
          <t>75th percentile</t>
        </is>
      </c>
      <c r="B12" s="4">
        <f>Distribution!$B$16</f>
        <v/>
      </c>
    </row>
    <row r="13">
      <c r="A13" t="inlineStr">
        <is>
          <t>90th percentile</t>
        </is>
      </c>
      <c r="B13" s="4">
        <f>Distribution!$B$17</f>
        <v/>
      </c>
    </row>
    <row r="14">
      <c r="A14" t="inlineStr">
        <is>
          <t>Target date</t>
        </is>
      </c>
      <c r="B14" s="8">
        <f>Valuation!$B$45</f>
        <v/>
      </c>
    </row>
    <row r="15">
      <c r="A15" t="inlineStr">
        <is>
          <t>Price at the run</t>
        </is>
      </c>
      <c r="B15" s="4">
        <f>Valuation!$B$67</f>
        <v/>
      </c>
    </row>
    <row r="16">
      <c r="A16" t="inlineStr">
        <is>
          <t>Blended page target (options 67% + agents 33%, not live)</t>
        </is>
      </c>
      <c r="B16" s="9" t="n">
        <v>166.2408</v>
      </c>
    </row>
    <row r="17">
      <c r="A17" t="inlineStr">
        <is>
          <t>Supervisor research target (12m) (its own methods)</t>
        </is>
      </c>
      <c r="B17" s="9" t="n">
        <v>183.29</v>
      </c>
    </row>
    <row r="18">
      <c r="A18" t="inlineStr">
        <is>
          <t>Thesis break price (supervisor)</t>
        </is>
      </c>
      <c r="B18" s="9" t="n">
        <v>118</v>
      </c>
    </row>
    <row r="19">
      <c r="A19" t="inlineStr">
        <is>
          <t>Supervisor confidence</t>
        </is>
      </c>
      <c r="B19" t="inlineStr">
        <is>
          <t>low</t>
        </is>
      </c>
    </row>
    <row r="21">
      <c r="A21" s="3" t="inlineStr">
        <is>
          <t>Key estimates</t>
        </is>
      </c>
      <c r="B21" s="3" t="inlineStr">
        <is>
          <t>FY2025A</t>
        </is>
      </c>
      <c r="C21" s="3">
        <f>Model!E5</f>
        <v/>
      </c>
      <c r="D21" s="3">
        <f>Model!F5</f>
        <v/>
      </c>
    </row>
    <row r="22">
      <c r="A22" t="inlineStr">
        <is>
          <t>Net sales</t>
        </is>
      </c>
      <c r="B22" s="10">
        <f>IF(Model!D11="","",Model!D11)</f>
        <v/>
      </c>
      <c r="C22" s="10">
        <f>Model!E11</f>
        <v/>
      </c>
      <c r="D22" s="10">
        <f>Model!F11</f>
        <v/>
      </c>
    </row>
    <row r="23">
      <c r="A23" s="11" t="inlineStr">
        <is>
          <t xml:space="preserve">  % YoY</t>
        </is>
      </c>
      <c r="B23" s="12">
        <f>IF(Model!D12="","",Model!D12)</f>
        <v/>
      </c>
      <c r="C23" s="12">
        <f>Model!E12</f>
        <v/>
      </c>
      <c r="D23" s="12">
        <f>Model!F12</f>
        <v/>
      </c>
    </row>
    <row r="24">
      <c r="A24" t="inlineStr">
        <is>
          <t>Pretax margin</t>
        </is>
      </c>
      <c r="B24" s="12">
        <f>IF(Model!D22="","",Model!D22)</f>
        <v/>
      </c>
      <c r="C24" s="12">
        <f>Model!E22</f>
        <v/>
      </c>
      <c r="D24" s="12">
        <f>Model!F22</f>
        <v/>
      </c>
    </row>
    <row r="25">
      <c r="A25" t="inlineStr">
        <is>
          <t>Diluted EPS (model)</t>
        </is>
      </c>
      <c r="B25" s="13">
        <f>IF(Model!D29="","",Model!D29)</f>
        <v/>
      </c>
      <c r="C25" s="13">
        <f>Model!E29</f>
        <v/>
      </c>
      <c r="D25" s="13">
        <f>Model!F29</f>
        <v/>
      </c>
    </row>
    <row r="26">
      <c r="A26" s="11" t="inlineStr">
        <is>
          <t xml:space="preserve">  % YoY</t>
        </is>
      </c>
      <c r="B26" s="12">
        <f>IF(Model!D30="","",Model!D30)</f>
        <v/>
      </c>
      <c r="C26" s="12">
        <f>Model!E30</f>
        <v/>
      </c>
      <c r="D26" s="12">
        <f>Model!F30</f>
        <v/>
      </c>
    </row>
    <row r="27">
      <c r="A27" t="inlineStr">
        <is>
          <t>Free cash flow to firm</t>
        </is>
      </c>
      <c r="B27" s="10">
        <f>IF(Model!D39="","",Model!D39)</f>
        <v/>
      </c>
      <c r="C27" s="10">
        <f>Model!E39</f>
        <v/>
      </c>
      <c r="D27" s="10">
        <f>Model!F39</f>
        <v/>
      </c>
    </row>
    <row r="28">
      <c r="A28" s="14" t="inlineStr">
        <is>
          <t>Guidance midpoint: EPS (adjusted (non-GAAP) EPS)</t>
        </is>
      </c>
      <c r="C28" s="15" t="n"/>
    </row>
    <row r="29">
      <c r="A29" s="16" t="inlineStr">
        <is>
          <t>Consensus: EPS (adjusted (non-GAAP), post-split)</t>
        </is>
      </c>
      <c r="C29" s="17" t="n">
        <v>10.45</v>
      </c>
    </row>
    <row r="30">
      <c r="A30" s="16" t="inlineStr">
        <is>
          <t>Consensus: EPS (adjusted (non-GAAP), post-split)</t>
        </is>
      </c>
      <c r="D30" s="17" t="n">
        <v>12.37</v>
      </c>
    </row>
    <row r="32">
      <c r="A32" s="3" t="inlineStr">
        <is>
          <t>Valuation method</t>
        </is>
      </c>
      <c r="B32" s="3" t="inlineStr">
        <is>
          <t>Value per share</t>
        </is>
      </c>
      <c r="C32" s="3" t="inlineStr">
        <is>
          <t>Weight</t>
        </is>
      </c>
    </row>
    <row r="33">
      <c r="A33" s="18">
        <f>Valuation!A4</f>
        <v/>
      </c>
      <c r="B33" s="4">
        <f>Valuation!D4</f>
        <v/>
      </c>
      <c r="C33" s="12">
        <f>Valuation!E4</f>
        <v/>
      </c>
    </row>
    <row r="34">
      <c r="A34" s="18">
        <f>Valuation!A5</f>
        <v/>
      </c>
      <c r="B34" s="4">
        <f>Valuation!D5</f>
        <v/>
      </c>
      <c r="C34" s="12">
        <f>Valuation!E5</f>
        <v/>
      </c>
    </row>
    <row r="35">
      <c r="A35" s="18">
        <f>Valuation!A6</f>
        <v/>
      </c>
      <c r="B35" s="4">
        <f>Valuation!D6</f>
        <v/>
      </c>
      <c r="C35" s="12">
        <f>Valuation!E6</f>
        <v/>
      </c>
    </row>
    <row r="37">
      <c r="A37" s="3" t="inlineStr">
        <is>
          <t>Scenario</t>
        </is>
      </c>
      <c r="B37" s="3" t="inlineStr">
        <is>
          <t>Probability</t>
        </is>
      </c>
      <c r="C37" s="3" t="inlineStr">
        <is>
          <t>Value at target date</t>
        </is>
      </c>
      <c r="D37" s="3" t="inlineStr">
        <is>
          <t>What has to happen</t>
        </is>
      </c>
    </row>
    <row r="38">
      <c r="A38" s="18">
        <f>Distribution!A4</f>
        <v/>
      </c>
      <c r="B38" s="12">
        <f>Distribution!B4</f>
        <v/>
      </c>
      <c r="C38" s="4">
        <f>Distribution!C4</f>
        <v/>
      </c>
      <c r="D38" s="19">
        <f>Distribution!D4</f>
        <v/>
      </c>
    </row>
    <row r="39">
      <c r="A39" s="18">
        <f>Distribution!A5</f>
        <v/>
      </c>
      <c r="B39" s="12">
        <f>Distribution!B5</f>
        <v/>
      </c>
      <c r="C39" s="4">
        <f>Distribution!C5</f>
        <v/>
      </c>
      <c r="D39" s="19">
        <f>Distribution!D5</f>
        <v/>
      </c>
    </row>
    <row r="40">
      <c r="A40" s="18">
        <f>Distribution!A6</f>
        <v/>
      </c>
      <c r="B40" s="12">
        <f>Distribution!B6</f>
        <v/>
      </c>
      <c r="C40" s="4">
        <f>Distribution!C6</f>
        <v/>
      </c>
      <c r="D40" s="19">
        <f>Distribution!D6</f>
        <v/>
      </c>
    </row>
    <row r="42">
      <c r="A42" s="3" t="inlineStr">
        <is>
          <t>Price at target date</t>
        </is>
      </c>
      <c r="B42" s="3" t="inlineStr">
        <is>
          <t>Probability above</t>
        </is>
      </c>
    </row>
    <row r="43">
      <c r="A43" s="9">
        <f>ROUND(Valuation!$B$67*0.7,0)</f>
        <v/>
      </c>
      <c r="B43" s="20">
        <f>SUMPRODUCT(Distribution!$B$4:$B$6,1-NORMSDIST((LN(A43)-LN(Distribution!$C$4:$C$6))/Distribution!$B$9))</f>
        <v/>
      </c>
    </row>
    <row r="44">
      <c r="A44" s="9">
        <f>ROUND(Valuation!$B$67*0.8,0)</f>
        <v/>
      </c>
      <c r="B44" s="20">
        <f>SUMPRODUCT(Distribution!$B$4:$B$6,1-NORMSDIST((LN(A44)-LN(Distribution!$C$4:$C$6))/Distribution!$B$9))</f>
        <v/>
      </c>
    </row>
    <row r="45">
      <c r="A45" s="9">
        <f>ROUND(Valuation!$B$67*0.9,0)</f>
        <v/>
      </c>
      <c r="B45" s="20">
        <f>SUMPRODUCT(Distribution!$B$4:$B$6,1-NORMSDIST((LN(A45)-LN(Distribution!$C$4:$C$6))/Distribution!$B$9))</f>
        <v/>
      </c>
    </row>
    <row r="46">
      <c r="A46" s="9">
        <f>ROUND(Valuation!$B$67*1.0,0)</f>
        <v/>
      </c>
      <c r="B46" s="20">
        <f>SUMPRODUCT(Distribution!$B$4:$B$6,1-NORMSDIST((LN(A46)-LN(Distribution!$C$4:$C$6))/Distribution!$B$9))</f>
        <v/>
      </c>
    </row>
    <row r="47">
      <c r="A47" s="9">
        <f>ROUND(Valuation!$B$67*1.1,0)</f>
        <v/>
      </c>
      <c r="B47" s="20">
        <f>SUMPRODUCT(Distribution!$B$4:$B$6,1-NORMSDIST((LN(A47)-LN(Distribution!$C$4:$C$6))/Distribution!$B$9))</f>
        <v/>
      </c>
    </row>
    <row r="48">
      <c r="A48" s="9">
        <f>ROUND(Valuation!$B$67*1.2,0)</f>
        <v/>
      </c>
      <c r="B48" s="20">
        <f>SUMPRODUCT(Distribution!$B$4:$B$6,1-NORMSDIST((LN(A48)-LN(Distribution!$C$4:$C$6))/Distribution!$B$9))</f>
        <v/>
      </c>
    </row>
    <row r="49">
      <c r="A49" s="9">
        <f>ROUND(Valuation!$B$67*1.3,0)</f>
        <v/>
      </c>
      <c r="B49" s="20">
        <f>SUMPRODUCT(Distribution!$B$4:$B$6,1-NORMSDIST((LN(A49)-LN(Distribution!$C$4:$C$6))/Distribution!$B$9))</f>
        <v/>
      </c>
    </row>
    <row r="50">
      <c r="A50" s="9">
        <f>ROUND(Valuation!$B$67*1.5,0)</f>
        <v/>
      </c>
      <c r="B50" s="20">
        <f>SUMPRODUCT(Distribution!$B$4:$B$6,1-NORMSDIST((LN(A50)-LN(Distribution!$C$4:$C$6))/Distribution!$B$9))</f>
        <v/>
      </c>
    </row>
    <row r="52">
      <c r="A52" s="3" t="inlineStr">
        <is>
          <t>Model checks</t>
        </is>
      </c>
      <c r="B52" s="3" t="inlineStr">
        <is>
          <t>Status</t>
        </is>
      </c>
    </row>
    <row r="53">
      <c r="A53" t="inlineStr">
        <is>
          <t>Scenario probabilities sum to 100%</t>
        </is>
      </c>
      <c r="B53">
        <f>IF(ABS(Distribution!B8-1)&lt;0.005,"ok","FLAG: "&amp;TEXT(Distribution!B8,"0.0%"))</f>
        <v/>
      </c>
    </row>
    <row r="54">
      <c r="A54" t="inlineStr">
        <is>
          <t>WACC exceeds terminal growth by 1 point or more</t>
        </is>
      </c>
      <c r="B54">
        <f>IF('Calc - research target (12m)'!B55="ok","ok","FLAG")</f>
        <v/>
      </c>
    </row>
    <row r="55">
      <c r="A55" t="inlineStr">
        <is>
          <t>Projection runs a full year past the target date</t>
        </is>
      </c>
      <c r="B55">
        <f>IF('Calc - research target (12m)'!B56="ok","ok","FLAG")</f>
        <v/>
      </c>
    </row>
    <row r="56">
      <c r="A56" t="inlineStr">
        <is>
          <t>Method weights add up to more than zero</t>
        </is>
      </c>
      <c r="B56">
        <f>IF(SUM(Valuation!E4:E6)&gt;0,"ok","FLAG")</f>
        <v/>
      </c>
    </row>
    <row r="57">
      <c r="A57" t="inlineStr">
        <is>
          <t>Terminal value under 85% of the DCF</t>
        </is>
      </c>
      <c r="B57">
        <f>IF('Calc - research target (12m)'!B46&lt;0.85,"ok","note: "&amp;TEXT('Calc - research target (12m)'!B46,"0%")&amp;" of the DCF is terminal value")</f>
        <v/>
      </c>
    </row>
    <row r="58">
      <c r="A58" t="inlineStr">
        <is>
          <t>Matches the engine run at publication (target, research target (12m))</t>
        </is>
      </c>
      <c r="B58">
        <f>IF(AND(ABS(Distribution!$B$13-170.2395)&lt;0.01,ABS(Valuation!$D$7-183.2852)&lt;0.01),"ok","inputs edited since publication")</f>
        <v/>
      </c>
    </row>
    <row r="59">
      <c r="A59" s="21" t="inlineStr">
        <is>
          <t>All checks</t>
        </is>
      </c>
      <c r="B59" s="21">
        <f>IF(COUNTIF(B53:B58,"ok")=6,"all ok",6-COUNTIF(B53:B58,"ok")&amp;" to look at")</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3"/>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60" customWidth="1" min="8" max="8"/>
  </cols>
  <sheetData>
    <row r="1">
      <c r="A1" s="1" t="inlineStr">
        <is>
          <t>BKNG: annual model, base case</t>
        </is>
      </c>
    </row>
    <row r="2">
      <c r="A2" s="2" t="inlineStr">
        <is>
          <t>(M of US dollars except per share; fiscal years named by the calendar year they end in)</t>
        </is>
      </c>
    </row>
    <row r="3">
      <c r="A3" s="2" t="inlineStr">
        <is>
          <t>Blue = input · black = formula · green = link to another tab · actuals from SEC filings (fact ids in the last column, links on Sources)</t>
        </is>
      </c>
    </row>
    <row r="5">
      <c r="A5" s="3" t="inlineStr">
        <is>
          <t>Fiscal year</t>
        </is>
      </c>
      <c r="B5" s="3" t="inlineStr">
        <is>
          <t>FY2023A</t>
        </is>
      </c>
      <c r="C5" s="3" t="inlineStr">
        <is>
          <t>FY2024A</t>
        </is>
      </c>
      <c r="D5" s="3" t="inlineStr">
        <is>
          <t>FY2025A</t>
        </is>
      </c>
      <c r="E5" s="3" t="inlineStr">
        <is>
          <t>FY2026E</t>
        </is>
      </c>
      <c r="F5" s="3" t="inlineStr">
        <is>
          <t>FY2027E</t>
        </is>
      </c>
      <c r="G5" s="3" t="inlineStr">
        <is>
          <t>FY2028E</t>
        </is>
      </c>
      <c r="H5" s="3" t="inlineStr">
        <is>
          <t>Source / note</t>
        </is>
      </c>
    </row>
    <row r="6">
      <c r="A6" t="inlineStr">
        <is>
          <t>Period end</t>
        </is>
      </c>
      <c r="B6" s="22" t="n">
        <v>45291</v>
      </c>
      <c r="C6" s="22" t="n">
        <v>45657</v>
      </c>
      <c r="D6" s="22" t="n">
        <v>46022</v>
      </c>
      <c r="E6" s="22">
        <f>IF(DAY(Valuation!$B$49+1)=1,EOMONTH(Valuation!$B$49,12*E7),EDATE(Valuation!$B$49,12*E7))</f>
        <v/>
      </c>
      <c r="F6" s="22">
        <f>IF(DAY(Valuation!$B$49+1)=1,EOMONTH(Valuation!$B$49,12*F7),EDATE(Valuation!$B$49,12*F7))</f>
        <v/>
      </c>
      <c r="G6" s="22">
        <f>IF(DAY(Valuation!$B$49+1)=1,EOMONTH(Valuation!$B$49,12*G7),EDATE(Valuation!$B$49,12*G7))</f>
        <v/>
      </c>
    </row>
    <row r="7">
      <c r="A7" t="inlineStr">
        <is>
          <t>Projection year</t>
        </is>
      </c>
      <c r="B7" t="n">
        <v>-2</v>
      </c>
      <c r="C7" t="n">
        <v>-1</v>
      </c>
      <c r="D7" t="n">
        <v>0</v>
      </c>
      <c r="E7" t="n">
        <v>1</v>
      </c>
      <c r="F7" t="n">
        <v>2</v>
      </c>
      <c r="G7" t="n">
        <v>3</v>
      </c>
    </row>
    <row r="10">
      <c r="A10" s="23" t="inlineStr">
        <is>
          <t>Sales</t>
        </is>
      </c>
      <c r="B10" s="24" t="n"/>
      <c r="C10" s="24" t="n"/>
      <c r="D10" s="24" t="n"/>
      <c r="E10" s="24" t="n"/>
      <c r="F10" s="24" t="n"/>
      <c r="G10" s="24" t="n"/>
      <c r="H10" s="24" t="n"/>
    </row>
    <row r="11">
      <c r="A11" s="21" t="inlineStr">
        <is>
          <t>Net sales</t>
        </is>
      </c>
      <c r="B11" s="25" t="n">
        <v>21365</v>
      </c>
      <c r="C11" s="25" t="n">
        <v>23739</v>
      </c>
      <c r="D11" s="25" t="n">
        <v>26917</v>
      </c>
      <c r="E11" s="26">
        <f>Valuation!$B$50*(1+E48)</f>
        <v/>
      </c>
      <c r="F11" s="26">
        <f>E11*(1+F48)</f>
        <v/>
      </c>
      <c r="G11" s="26">
        <f>F11*(1+G48)</f>
        <v/>
      </c>
      <c r="H11" s="2" t="inlineStr">
        <is>
          <t>SEC XBRL F1, F2, F3</t>
        </is>
      </c>
    </row>
    <row r="12">
      <c r="A12" s="11" t="inlineStr">
        <is>
          <t xml:space="preserve">  % YoY</t>
        </is>
      </c>
      <c r="C12" s="27">
        <f>IF(OR(C11="",B11="",B11=0),"",C11/B11-1)</f>
        <v/>
      </c>
      <c r="D12" s="27">
        <f>IF(OR(D11="",C11="",C11=0),"",D11/C11-1)</f>
        <v/>
      </c>
      <c r="E12" s="27">
        <f>E11/Valuation!$B$50-1</f>
        <v/>
      </c>
      <c r="F12" s="27">
        <f>F11/E11-1</f>
        <v/>
      </c>
      <c r="G12" s="27">
        <f>G11/F11-1</f>
        <v/>
      </c>
    </row>
    <row r="14">
      <c r="A14" s="23" t="inlineStr">
        <is>
          <t>Operating profit</t>
        </is>
      </c>
      <c r="B14" s="24" t="n"/>
      <c r="C14" s="24" t="n"/>
      <c r="D14" s="24" t="n"/>
      <c r="E14" s="24" t="n"/>
      <c r="F14" s="24" t="n"/>
      <c r="G14" s="24" t="n"/>
      <c r="H14" s="24" t="n"/>
    </row>
    <row r="15">
      <c r="A15" t="inlineStr">
        <is>
          <t>EBIT (operating income)</t>
        </is>
      </c>
      <c r="E15" s="25">
        <f>E11*E49</f>
        <v/>
      </c>
      <c r="F15" s="25">
        <f>F11*F49</f>
        <v/>
      </c>
      <c r="G15" s="25">
        <f>G11*G49</f>
        <v/>
      </c>
    </row>
    <row r="16">
      <c r="A16" s="11" t="inlineStr">
        <is>
          <t xml:space="preserve">  EBIT margin</t>
        </is>
      </c>
      <c r="E16" s="27">
        <f>E15/E11</f>
        <v/>
      </c>
      <c r="F16" s="27">
        <f>F15/F11</f>
        <v/>
      </c>
      <c r="G16" s="27">
        <f>G15/G11</f>
        <v/>
      </c>
    </row>
    <row r="17">
      <c r="A17" t="inlineStr">
        <is>
          <t>D&amp;A</t>
        </is>
      </c>
      <c r="B17" s="25" t="n">
        <v>504</v>
      </c>
      <c r="C17" s="25" t="n">
        <v>591</v>
      </c>
      <c r="D17" s="25" t="n">
        <v>623</v>
      </c>
      <c r="E17" s="25">
        <f>E11*E51</f>
        <v/>
      </c>
      <c r="F17" s="25">
        <f>F11*F51</f>
        <v/>
      </c>
      <c r="G17" s="25">
        <f>G11*G51</f>
        <v/>
      </c>
      <c r="H17" s="2" t="inlineStr">
        <is>
          <t>SEC XBRL F27, F28, F29</t>
        </is>
      </c>
    </row>
    <row r="18">
      <c r="A18" t="inlineStr">
        <is>
          <t>EBITDA</t>
        </is>
      </c>
      <c r="E18" s="25">
        <f>E15+E17</f>
        <v/>
      </c>
      <c r="F18" s="25">
        <f>F15+F17</f>
        <v/>
      </c>
      <c r="G18" s="25">
        <f>G15+G17</f>
        <v/>
      </c>
    </row>
    <row r="19">
      <c r="A19" s="11" t="inlineStr">
        <is>
          <t xml:space="preserve">  EBITDA margin</t>
        </is>
      </c>
      <c r="E19" s="27">
        <f>E18/E11</f>
        <v/>
      </c>
      <c r="F19" s="27">
        <f>F18/F11</f>
        <v/>
      </c>
      <c r="G19" s="27">
        <f>G18/G11</f>
        <v/>
      </c>
    </row>
    <row r="20">
      <c r="A20" t="inlineStr">
        <is>
          <t>Net interest income / (expense)</t>
        </is>
      </c>
      <c r="E20" s="25">
        <f>-Valuation!$B$58*Valuation!$B$56</f>
        <v/>
      </c>
      <c r="F20" s="25">
        <f>-Valuation!$B$58*E45</f>
        <v/>
      </c>
      <c r="G20" s="25">
        <f>-Valuation!$B$58*F45</f>
        <v/>
      </c>
      <c r="H20" s="2" t="inlineStr">
        <is>
          <t>rate x prior year-end net debt (memo roll)</t>
        </is>
      </c>
    </row>
    <row r="21">
      <c r="A21" s="21" t="inlineStr">
        <is>
          <t>Pretax income</t>
        </is>
      </c>
      <c r="B21" s="25" t="n">
        <v>5481</v>
      </c>
      <c r="C21" s="25" t="n">
        <v>7292</v>
      </c>
      <c r="D21" s="25" t="n">
        <v>6832</v>
      </c>
      <c r="E21" s="26">
        <f>E15+E20</f>
        <v/>
      </c>
      <c r="F21" s="26">
        <f>F15+F20</f>
        <v/>
      </c>
      <c r="G21" s="26">
        <f>G15+G20</f>
        <v/>
      </c>
      <c r="H21" s="2" t="inlineStr">
        <is>
          <t>SEC XBRL F76, F77, F78</t>
        </is>
      </c>
    </row>
    <row r="22">
      <c r="A22" s="11" t="inlineStr">
        <is>
          <t xml:space="preserve">  Pretax margin</t>
        </is>
      </c>
      <c r="B22" s="27">
        <f>B21/B11</f>
        <v/>
      </c>
      <c r="C22" s="27">
        <f>C21/C11</f>
        <v/>
      </c>
      <c r="D22" s="27">
        <f>D21/D11</f>
        <v/>
      </c>
      <c r="E22" s="27">
        <f>E21/E11</f>
        <v/>
      </c>
      <c r="F22" s="27">
        <f>F21/F11</f>
        <v/>
      </c>
      <c r="G22" s="27">
        <f>G21/G11</f>
        <v/>
      </c>
    </row>
    <row r="23">
      <c r="A23" t="inlineStr">
        <is>
          <t>Income tax</t>
        </is>
      </c>
      <c r="B23" s="25" t="n">
        <v>1192</v>
      </c>
      <c r="C23" s="25" t="n">
        <v>1410</v>
      </c>
      <c r="D23" s="25" t="n">
        <v>1428</v>
      </c>
      <c r="E23" s="25">
        <f>E21*E50</f>
        <v/>
      </c>
      <c r="F23" s="25">
        <f>F21*F50</f>
        <v/>
      </c>
      <c r="G23" s="25">
        <f>G21*G50</f>
        <v/>
      </c>
      <c r="H23" s="2" t="inlineStr">
        <is>
          <t>SEC XBRL F69, F70, F71</t>
        </is>
      </c>
    </row>
    <row r="24">
      <c r="A24" s="11" t="inlineStr">
        <is>
          <t xml:space="preserve">  Effective tax rate</t>
        </is>
      </c>
      <c r="B24" s="27">
        <f>B23/B21</f>
        <v/>
      </c>
      <c r="C24" s="27">
        <f>C23/C21</f>
        <v/>
      </c>
      <c r="D24" s="27">
        <f>D23/D21</f>
        <v/>
      </c>
      <c r="E24" s="27">
        <f>E23/E21</f>
        <v/>
      </c>
      <c r="F24" s="27">
        <f>F23/F21</f>
        <v/>
      </c>
      <c r="G24" s="27">
        <f>G23/G21</f>
        <v/>
      </c>
    </row>
    <row r="25">
      <c r="A25" s="21" t="inlineStr">
        <is>
          <t>Net income</t>
        </is>
      </c>
      <c r="E25" s="26">
        <f>E21-E23</f>
        <v/>
      </c>
      <c r="F25" s="26">
        <f>F21-F23</f>
        <v/>
      </c>
      <c r="G25" s="26">
        <f>G21-G23</f>
        <v/>
      </c>
    </row>
    <row r="26">
      <c r="A26" s="11" t="inlineStr">
        <is>
          <t xml:space="preserve">  % YoY</t>
        </is>
      </c>
      <c r="C26" s="27">
        <f>IF(OR(C25="",B25="",B25=0),"",C25/B25-1)</f>
        <v/>
      </c>
      <c r="D26" s="27">
        <f>IF(OR(D25="",C25="",C25=0),"",D25/C25-1)</f>
        <v/>
      </c>
      <c r="E26" s="27">
        <f>IF(OR(D25="",D25=0),"",E25/D25-1)</f>
        <v/>
      </c>
      <c r="F26" s="27">
        <f>IF(OR(E25="",E25=0),"",F25/E25-1)</f>
        <v/>
      </c>
      <c r="G26" s="27">
        <f>IF(OR(F25="",F25=0),"",G25/F25-1)</f>
        <v/>
      </c>
    </row>
    <row r="27">
      <c r="A27" t="inlineStr">
        <is>
          <t>Diluted shares (M, average)</t>
        </is>
      </c>
      <c r="B27" s="25" t="n">
        <v>36.53</v>
      </c>
      <c r="C27" s="25" t="n">
        <v>34.064</v>
      </c>
      <c r="D27" s="25" t="n">
        <v>32.639</v>
      </c>
      <c r="E27" s="28">
        <f>Valuation!$B$60*(1+Valuation!$B$62)^(E7-0.5-((Valuation!$B$61-Valuation!$B$49)/365.25))</f>
        <v/>
      </c>
      <c r="F27" s="28">
        <f>Valuation!$B$60*(1+Valuation!$B$62)^(F7-0.5-((Valuation!$B$61-Valuation!$B$49)/365.25))</f>
        <v/>
      </c>
      <c r="G27" s="28">
        <f>Valuation!$B$60*(1+Valuation!$B$62)^(G7-0.5-((Valuation!$B$61-Valuation!$B$49)/365.25))</f>
        <v/>
      </c>
      <c r="H27" s="2" t="inlineStr">
        <is>
          <t>diluted count rolled at the annual change to mid-year</t>
        </is>
      </c>
    </row>
    <row r="28">
      <c r="A28" s="11" t="inlineStr">
        <is>
          <t xml:space="preserve">  % YoY</t>
        </is>
      </c>
      <c r="C28" s="27">
        <f>IF(OR(C27="",B27="",B27=0),"",C27/B27-1)</f>
        <v/>
      </c>
      <c r="D28" s="27">
        <f>IF(OR(D27="",C27="",C27=0),"",D27/C27-1)</f>
        <v/>
      </c>
      <c r="E28" s="27">
        <f>IF(OR(D27="",D27=0),"",E27/D27-1)</f>
        <v/>
      </c>
      <c r="F28" s="27">
        <f>IF(OR(E27="",E27=0),"",F27/E27-1)</f>
        <v/>
      </c>
      <c r="G28" s="27">
        <f>IF(OR(F27="",F27=0),"",G27/F27-1)</f>
        <v/>
      </c>
    </row>
    <row r="29">
      <c r="A29" s="21" t="inlineStr">
        <is>
          <t>Diluted EPS</t>
        </is>
      </c>
      <c r="B29" s="29" t="n">
        <v>117.4</v>
      </c>
      <c r="C29" s="29" t="n">
        <v>172.69</v>
      </c>
      <c r="D29" s="29" t="n">
        <v>165.57</v>
      </c>
      <c r="E29" s="30">
        <f>E25/E27</f>
        <v/>
      </c>
      <c r="F29" s="30">
        <f>F25/F27</f>
        <v/>
      </c>
      <c r="G29" s="30">
        <f>G25/G27</f>
        <v/>
      </c>
      <c r="H29" s="2" t="inlineStr">
        <is>
          <t>SEC XBRL F15, F16, F17</t>
        </is>
      </c>
    </row>
    <row r="30">
      <c r="A30" s="11" t="inlineStr">
        <is>
          <t xml:space="preserve">  % YoY</t>
        </is>
      </c>
      <c r="C30" s="27">
        <f>IF(OR(C29="",B29="",B29=0),"",C29/B29-1)</f>
        <v/>
      </c>
      <c r="D30" s="27">
        <f>IF(OR(D29="",C29="",C29=0),"",D29/C29-1)</f>
        <v/>
      </c>
      <c r="E30" s="27">
        <f>IF(OR(D29="",D29=0),"",E29/D29-1)</f>
        <v/>
      </c>
      <c r="F30" s="27">
        <f>IF(OR(E29="",E29=0),"",F29/E29-1)</f>
        <v/>
      </c>
      <c r="G30" s="27">
        <f>IF(OR(F29="",F29=0),"",G29/F29-1)</f>
        <v/>
      </c>
    </row>
    <row r="32">
      <c r="A32" s="23" t="inlineStr">
        <is>
          <t>Cash flow</t>
        </is>
      </c>
      <c r="B32" s="24" t="n"/>
      <c r="C32" s="24" t="n"/>
      <c r="D32" s="24" t="n"/>
      <c r="E32" s="24" t="n"/>
      <c r="F32" s="24" t="n"/>
      <c r="G32" s="24" t="n"/>
      <c r="H32" s="24" t="n"/>
    </row>
    <row r="33">
      <c r="A33" t="inlineStr">
        <is>
          <t>NOPAT (EBIT x (1 - tax))</t>
        </is>
      </c>
      <c r="E33" s="25">
        <f>E15*(1-E50)</f>
        <v/>
      </c>
      <c r="F33" s="25">
        <f>F15*(1-F50)</f>
        <v/>
      </c>
      <c r="G33" s="25">
        <f>G15*(1-G50)</f>
        <v/>
      </c>
    </row>
    <row r="34">
      <c r="A34" t="inlineStr">
        <is>
          <t>+ D&amp;A</t>
        </is>
      </c>
      <c r="B34" s="25">
        <f>B17</f>
        <v/>
      </c>
      <c r="C34" s="25">
        <f>C17</f>
        <v/>
      </c>
      <c r="D34" s="25">
        <f>D17</f>
        <v/>
      </c>
      <c r="E34" s="25">
        <f>E17</f>
        <v/>
      </c>
      <c r="F34" s="25">
        <f>F17</f>
        <v/>
      </c>
      <c r="G34" s="25">
        <f>G17</f>
        <v/>
      </c>
    </row>
    <row r="35">
      <c r="A35" t="inlineStr">
        <is>
          <t>- Capex</t>
        </is>
      </c>
      <c r="B35" s="25" t="n">
        <v>345</v>
      </c>
      <c r="C35" s="25" t="n">
        <v>429</v>
      </c>
      <c r="D35" s="25" t="n">
        <v>322</v>
      </c>
      <c r="E35" s="25">
        <f>E11*E52</f>
        <v/>
      </c>
      <c r="F35" s="25">
        <f>F11*F52</f>
        <v/>
      </c>
      <c r="G35" s="25">
        <f>G11*G52</f>
        <v/>
      </c>
      <c r="H35" s="2" t="inlineStr">
        <is>
          <t>SEC XBRL F41, F42, F43</t>
        </is>
      </c>
    </row>
    <row r="36">
      <c r="A36" s="11" t="inlineStr">
        <is>
          <t xml:space="preserve">  Capex % of sales</t>
        </is>
      </c>
      <c r="B36" s="27">
        <f>B35/B11</f>
        <v/>
      </c>
      <c r="C36" s="27">
        <f>C35/C11</f>
        <v/>
      </c>
      <c r="D36" s="27">
        <f>D35/D11</f>
        <v/>
      </c>
      <c r="E36" s="27">
        <f>E35/E11</f>
        <v/>
      </c>
      <c r="F36" s="27">
        <f>F35/F11</f>
        <v/>
      </c>
      <c r="G36" s="27">
        <f>G35/G11</f>
        <v/>
      </c>
    </row>
    <row r="37">
      <c r="A37" t="inlineStr">
        <is>
          <t>- Working capital increase</t>
        </is>
      </c>
      <c r="E37" s="25">
        <f>E53*(E11-Valuation!$B$50)</f>
        <v/>
      </c>
      <c r="F37" s="25">
        <f>F53*(F11-E11)</f>
        <v/>
      </c>
      <c r="G37" s="25">
        <f>G53*(G11-F11)</f>
        <v/>
      </c>
    </row>
    <row r="38">
      <c r="A38" t="inlineStr">
        <is>
          <t>- Stock comp (adjusted EBIT only)</t>
        </is>
      </c>
      <c r="E38" s="25">
        <f>IF(AND(Valuation!$B$47="adjusted",Valuation!$B$48="cost"),E42*(1-E50),0)</f>
        <v/>
      </c>
      <c r="F38" s="25">
        <f>IF(AND(Valuation!$B$47="adjusted",Valuation!$B$48="cost"),F42*(1-F50),0)</f>
        <v/>
      </c>
      <c r="G38" s="25">
        <f>IF(AND(Valuation!$B$47="adjusted",Valuation!$B$48="cost"),G42*(1-G50),0)</f>
        <v/>
      </c>
    </row>
    <row r="39">
      <c r="A39" s="21" t="inlineStr">
        <is>
          <t>Free cash flow to firm</t>
        </is>
      </c>
      <c r="E39" s="26">
        <f>E33+E34-E35-E37-E38</f>
        <v/>
      </c>
      <c r="F39" s="26">
        <f>F33+F34-F35-F37-F38</f>
        <v/>
      </c>
      <c r="G39" s="26">
        <f>G33+G34-G35-G37-G38</f>
        <v/>
      </c>
      <c r="H39" s="2" t="inlineStr">
        <is>
          <t>what the DCF discounts (Calc tabs)</t>
        </is>
      </c>
    </row>
    <row r="40">
      <c r="A40" t="inlineStr">
        <is>
          <t>Operating cash flow (reported)</t>
        </is>
      </c>
      <c r="B40" s="25" t="n">
        <v>7344</v>
      </c>
      <c r="C40" s="25" t="n">
        <v>8323</v>
      </c>
      <c r="D40" s="25" t="n">
        <v>9409</v>
      </c>
      <c r="H40" s="2" t="inlineStr">
        <is>
          <t>SEC XBRL F34, F35, F36</t>
        </is>
      </c>
    </row>
    <row r="41">
      <c r="A41" t="inlineStr">
        <is>
          <t>FCF (operating cash flow - capex)</t>
        </is>
      </c>
      <c r="B41" s="25">
        <f>B40-B35</f>
        <v/>
      </c>
      <c r="C41" s="25">
        <f>C40-C35</f>
        <v/>
      </c>
      <c r="D41" s="25">
        <f>D40-D35</f>
        <v/>
      </c>
    </row>
    <row r="42">
      <c r="A42" t="inlineStr">
        <is>
          <t>Stock comp (memo)</t>
        </is>
      </c>
      <c r="E42" s="25">
        <f>E11*E54</f>
        <v/>
      </c>
      <c r="F42" s="25">
        <f>F11*F54</f>
        <v/>
      </c>
      <c r="G42" s="25">
        <f>G11*G54</f>
        <v/>
      </c>
    </row>
    <row r="43">
      <c r="A43" t="inlineStr">
        <is>
          <t>Buybacks + dividends + other uses</t>
        </is>
      </c>
      <c r="B43" s="25" t="n">
        <v>10377</v>
      </c>
      <c r="C43" s="25" t="n">
        <v>7683</v>
      </c>
      <c r="D43" s="25" t="n">
        <v>7688</v>
      </c>
      <c r="E43" s="25">
        <f>E11*E56+E55+E57</f>
        <v/>
      </c>
      <c r="F43" s="25">
        <f>F11*F56+F55+F57</f>
        <v/>
      </c>
      <c r="G43" s="25">
        <f>G11*G56+G55+G57</f>
        <v/>
      </c>
      <c r="H43" s="2" t="inlineStr">
        <is>
          <t>SEC XBRL F48, F55, F49, F56, F50, F57</t>
        </is>
      </c>
    </row>
    <row r="44">
      <c r="A44" s="11" t="inlineStr">
        <is>
          <t xml:space="preserve">  % of sales</t>
        </is>
      </c>
      <c r="B44" s="27">
        <f>B43/B11</f>
        <v/>
      </c>
      <c r="C44" s="27">
        <f>C43/C11</f>
        <v/>
      </c>
      <c r="D44" s="27">
        <f>D43/D11</f>
        <v/>
      </c>
      <c r="E44" s="27">
        <f>E43/E11</f>
        <v/>
      </c>
      <c r="F44" s="27">
        <f>F43/F11</f>
        <v/>
      </c>
      <c r="G44" s="27">
        <f>G43/G11</f>
        <v/>
      </c>
    </row>
    <row r="45">
      <c r="A45" t="inlineStr">
        <is>
          <t>Net debt / (net cash), year end (memo)</t>
        </is>
      </c>
      <c r="E45" s="25">
        <f>Valuation!$B$56-E39-E20*(1-E50)+E43</f>
        <v/>
      </c>
      <c r="F45" s="25">
        <f>E45-F39-F20*(1-F50)+F43</f>
        <v/>
      </c>
      <c r="G45" s="25">
        <f>F45-G39-G20*(1-G50)+G43</f>
        <v/>
      </c>
      <c r="H45" s="2" t="inlineStr">
        <is>
          <t>rolled from the balance-date figure; feeds interest only</t>
        </is>
      </c>
    </row>
    <row r="47">
      <c r="A47" s="23" t="inlineStr">
        <is>
          <t>Drivers (blue = input; a year left black carries the prior year)</t>
        </is>
      </c>
      <c r="B47" s="24" t="n"/>
      <c r="C47" s="24" t="n"/>
      <c r="D47" s="24" t="n"/>
      <c r="E47" s="24" t="n"/>
      <c r="F47" s="24" t="n"/>
      <c r="G47" s="24" t="n"/>
      <c r="H47" s="24" t="n"/>
    </row>
    <row r="48">
      <c r="A48" t="inlineStr">
        <is>
          <t>Revenue growth</t>
        </is>
      </c>
      <c r="C48" s="20">
        <f>C12</f>
        <v/>
      </c>
      <c r="D48" s="20">
        <f>D12</f>
        <v/>
      </c>
      <c r="E48" s="31" t="n">
        <v>0.07771109330959503</v>
      </c>
      <c r="F48" s="31" t="n">
        <v>0.0741810056798069</v>
      </c>
      <c r="G48" s="31" t="n">
        <v>0.07479214165960069</v>
      </c>
    </row>
    <row r="49">
      <c r="A49" t="inlineStr">
        <is>
          <t>EBIT margin</t>
        </is>
      </c>
      <c r="E49" s="31" t="n">
        <v>0.3246804903531378</v>
      </c>
      <c r="F49" s="31" t="n">
        <v>0.3259</v>
      </c>
      <c r="G49" s="31" t="n">
        <v>0.325521107266436</v>
      </c>
    </row>
    <row r="50">
      <c r="A50" t="inlineStr">
        <is>
          <t>Tax rate</t>
        </is>
      </c>
      <c r="B50" s="20">
        <f>B24</f>
        <v/>
      </c>
      <c r="C50" s="20">
        <f>C24</f>
        <v/>
      </c>
      <c r="D50" s="20">
        <f>D24</f>
        <v/>
      </c>
      <c r="E50" s="31" t="n">
        <v>0.224</v>
      </c>
      <c r="F50" s="20">
        <f>E50</f>
        <v/>
      </c>
      <c r="G50" s="20">
        <f>F50</f>
        <v/>
      </c>
    </row>
    <row r="51">
      <c r="A51" t="inlineStr">
        <is>
          <t>D&amp;A % revenue</t>
        </is>
      </c>
      <c r="B51" s="20">
        <f>B17/B11</f>
        <v/>
      </c>
      <c r="C51" s="20">
        <f>C17/C11</f>
        <v/>
      </c>
      <c r="D51" s="20">
        <f>D17/D11</f>
        <v/>
      </c>
      <c r="E51" s="31" t="n">
        <v>0.02</v>
      </c>
      <c r="F51" s="20">
        <f>E51</f>
        <v/>
      </c>
      <c r="G51" s="20">
        <f>F51</f>
        <v/>
      </c>
    </row>
    <row r="52">
      <c r="A52" t="inlineStr">
        <is>
          <t>Capex % revenue</t>
        </is>
      </c>
      <c r="B52" s="20">
        <f>B36</f>
        <v/>
      </c>
      <c r="C52" s="20">
        <f>C36</f>
        <v/>
      </c>
      <c r="D52" s="20">
        <f>D36</f>
        <v/>
      </c>
      <c r="E52" s="31" t="n">
        <v>0.0113</v>
      </c>
      <c r="F52" s="20">
        <f>E52</f>
        <v/>
      </c>
      <c r="G52" s="20">
        <f>F52</f>
        <v/>
      </c>
    </row>
    <row r="53">
      <c r="A53" t="inlineStr">
        <is>
          <t>Working capital % of revenue increase</t>
        </is>
      </c>
      <c r="E53" s="31" t="n">
        <v>0</v>
      </c>
      <c r="F53" s="20">
        <f>E53</f>
        <v/>
      </c>
      <c r="G53" s="20">
        <f>F53</f>
        <v/>
      </c>
    </row>
    <row r="54">
      <c r="A54" t="inlineStr">
        <is>
          <t>Stock comp % revenue</t>
        </is>
      </c>
      <c r="B54" s="20">
        <f>B42/B11</f>
        <v/>
      </c>
      <c r="C54" s="20">
        <f>C42/C11</f>
        <v/>
      </c>
      <c r="D54" s="20">
        <f>D42/D11</f>
        <v/>
      </c>
      <c r="E54" s="31" t="n">
        <v>0.02</v>
      </c>
      <c r="F54" s="20">
        <f>E54</f>
        <v/>
      </c>
      <c r="G54" s="20">
        <f>F54</f>
        <v/>
      </c>
    </row>
    <row r="55">
      <c r="A55" t="inlineStr">
        <is>
          <t>Shareholder returns ($)</t>
        </is>
      </c>
      <c r="E55" s="32" t="n">
        <v>10000</v>
      </c>
      <c r="F55" s="25">
        <f>E55</f>
        <v/>
      </c>
      <c r="G55" s="25">
        <f>F55</f>
        <v/>
      </c>
    </row>
    <row r="56">
      <c r="A56" t="inlineStr">
        <is>
          <t>Shareholder returns % revenue</t>
        </is>
      </c>
      <c r="B56" s="20">
        <f>B44</f>
        <v/>
      </c>
      <c r="C56" s="20">
        <f>C44</f>
        <v/>
      </c>
      <c r="D56" s="20">
        <f>D44</f>
        <v/>
      </c>
      <c r="E56" s="31" t="n">
        <v>0</v>
      </c>
      <c r="F56" s="20">
        <f>E56</f>
        <v/>
      </c>
      <c r="G56" s="20">
        <f>F56</f>
        <v/>
      </c>
    </row>
    <row r="57">
      <c r="A57" t="inlineStr">
        <is>
          <t>Other uses of cash ($: M&amp;A, investments)</t>
        </is>
      </c>
      <c r="E57" s="32" t="n">
        <v>0</v>
      </c>
      <c r="F57" s="25">
        <f>E57</f>
        <v/>
      </c>
      <c r="G57" s="25">
        <f>F57</f>
        <v/>
      </c>
    </row>
    <row r="58">
      <c r="A58" t="inlineStr">
        <is>
          <t>Adj. EBITDA addback % revenue</t>
        </is>
      </c>
      <c r="E58" s="31" t="n">
        <v>0</v>
      </c>
      <c r="F58" s="20">
        <f>E58</f>
        <v/>
      </c>
      <c r="G58" s="20">
        <f>F58</f>
        <v/>
      </c>
    </row>
    <row r="60">
      <c r="A60" s="23" t="inlineStr">
        <is>
          <t>Versus company guidance and street consensus</t>
        </is>
      </c>
      <c r="B60" s="24" t="n"/>
      <c r="C60" s="24" t="n"/>
      <c r="D60" s="24" t="n"/>
      <c r="E60" s="24" t="n"/>
      <c r="F60" s="24" t="n"/>
      <c r="G60" s="24" t="n"/>
      <c r="H60" s="24" t="n"/>
    </row>
    <row r="61">
      <c r="A61" t="inlineStr">
        <is>
          <t>Guidance: adj EPS growth (adjusted (non-GAAP) EPS), midpoint</t>
        </is>
      </c>
      <c r="E61" s="15" t="n"/>
      <c r="H61" s="2" t="inlineStr">
        <is>
          <t>as of 2026-08-04; source 1 (Booking Holdings Q2 2026 earnings release (8-K Ex.99.1; Q3/F)</t>
        </is>
      </c>
    </row>
    <row r="62">
      <c r="A62" t="inlineStr">
        <is>
          <t>Consensus: adj EPS (adjusted (non-GAAP), post-split)</t>
        </is>
      </c>
      <c r="E62" s="17" t="n">
        <v>10.45</v>
      </c>
      <c r="H62" s="2" t="inlineStr">
        <is>
          <t>as of 2026-09-24; source 10 (StockAnalysis BKNG forecast (FY26 $10.45; 36 analysts; avg P)</t>
        </is>
      </c>
    </row>
    <row r="63">
      <c r="A63" t="inlineStr">
        <is>
          <t>Consensus: adj EPS (adjusted (non-GAAP), post-split)</t>
        </is>
      </c>
      <c r="F63" s="17" t="n">
        <v>12.37</v>
      </c>
      <c r="H63" s="2" t="inlineStr">
        <is>
          <t>as of 2026-09-24; source 10 (StockAnalysis BKNG forecast (FY26 $10.45; 36 analysts; avg 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5"/>
  <sheetViews>
    <sheetView showGridLines="0" workbookViewId="0">
      <selection activeCell="A1" sqref="A1"/>
    </sheetView>
  </sheetViews>
  <sheetFormatPr baseColWidth="8" defaultRowHeight="15"/>
  <cols>
    <col width="52" customWidth="1" min="1" max="1"/>
    <col width="14" customWidth="1" min="2" max="2"/>
    <col width="14" customWidth="1" min="3" max="3"/>
    <col width="13" customWidth="1" min="4" max="4"/>
    <col width="13" customWidth="1" min="5" max="5"/>
    <col width="13" customWidth="1" min="6" max="6"/>
    <col width="13" customWidth="1" min="7" max="7"/>
    <col width="13" customWidth="1" min="8" max="8"/>
    <col width="13" customWidth="1" min="9" max="9"/>
    <col width="60" customWidth="1" min="10" max="10"/>
    <col width="13" customWidth="1" min="11" max="11"/>
  </cols>
  <sheetData>
    <row r="1">
      <c r="A1" s="1" t="inlineStr">
        <is>
          <t>BKNG: valuation and price target derivation</t>
        </is>
      </c>
    </row>
    <row r="2">
      <c r="A2" s="2" t="inlineStr">
        <is>
          <t>Value per share at the target date = weighted methods below; the 12-month target is the median of the scenario mix (Distribution tab).</t>
        </is>
      </c>
    </row>
    <row r="3">
      <c r="A3" s="3" t="inlineStr">
        <is>
          <t>Method</t>
        </is>
      </c>
      <c r="B3" s="3" t="inlineStr">
        <is>
          <t>Multiple</t>
        </is>
      </c>
      <c r="C3" s="3" t="inlineStr">
        <is>
          <t>Metric at target date</t>
        </is>
      </c>
      <c r="D3" s="3" t="inlineStr">
        <is>
          <t>Value per share</t>
        </is>
      </c>
      <c r="E3" s="3" t="inlineStr">
        <is>
          <t>Weight</t>
        </is>
      </c>
      <c r="F3" s="3" t="inlineStr">
        <is>
          <t>Contribution</t>
        </is>
      </c>
    </row>
    <row r="4">
      <c r="A4" s="18">
        <f>'Calc - research target (12m)'!A67</f>
        <v/>
      </c>
      <c r="B4" s="4">
        <f>IF('Calc - research target (12m)'!C67="","",'Calc - research target (12m)'!C67)</f>
        <v/>
      </c>
      <c r="C4" s="33">
        <f>IF('Calc - research target (12m)'!I67="","",'Calc - research target (12m)'!I67)</f>
        <v/>
      </c>
      <c r="D4" s="4">
        <f>'Calc - research target (12m)'!F67</f>
        <v/>
      </c>
      <c r="E4" s="12">
        <f>'Calc - research target (12m)'!G67</f>
        <v/>
      </c>
      <c r="F4" s="9">
        <f>D4*E4/SUM($E$4:$E$6)</f>
        <v/>
      </c>
    </row>
    <row r="5">
      <c r="A5" s="18">
        <f>'Calc - research target (12m)'!A68</f>
        <v/>
      </c>
      <c r="B5" s="4">
        <f>IF('Calc - research target (12m)'!C68="","",'Calc - research target (12m)'!C68)</f>
        <v/>
      </c>
      <c r="C5" s="33">
        <f>IF('Calc - research target (12m)'!I68="","",'Calc - research target (12m)'!I68)</f>
        <v/>
      </c>
      <c r="D5" s="4">
        <f>'Calc - research target (12m)'!F68</f>
        <v/>
      </c>
      <c r="E5" s="12">
        <f>'Calc - research target (12m)'!G68</f>
        <v/>
      </c>
      <c r="F5" s="9">
        <f>D5*E5/SUM($E$4:$E$6)</f>
        <v/>
      </c>
    </row>
    <row r="6">
      <c r="A6" s="18">
        <f>'Calc - research target (12m)'!A69</f>
        <v/>
      </c>
      <c r="B6" s="4">
        <f>IF('Calc - research target (12m)'!C69="","",'Calc - research target (12m)'!C69)</f>
        <v/>
      </c>
      <c r="C6" s="33">
        <f>IF('Calc - research target (12m)'!I69="","",'Calc - research target (12m)'!I69)</f>
        <v/>
      </c>
      <c r="D6" s="4">
        <f>'Calc - research target (12m)'!F69</f>
        <v/>
      </c>
      <c r="E6" s="12">
        <f>'Calc - research target (12m)'!G69</f>
        <v/>
      </c>
      <c r="F6" s="9">
        <f>D6*E6/SUM($E$4:$E$6)</f>
        <v/>
      </c>
    </row>
    <row r="7">
      <c r="A7" s="21" t="inlineStr">
        <is>
          <t>Research target (12m) per share</t>
        </is>
      </c>
      <c r="D7" s="6">
        <f>'Calc - research target (12m)'!$F$70</f>
        <v/>
      </c>
      <c r="F7" s="6">
        <f>SUM(F4:F6)</f>
        <v/>
      </c>
    </row>
    <row r="9">
      <c r="A9" s="23" t="inlineStr">
        <is>
          <t>12-month EPS basis (what the P/E is applied to)</t>
        </is>
      </c>
      <c r="B9" s="24" t="n"/>
      <c r="C9" s="24" t="n"/>
      <c r="D9" s="24" t="n"/>
      <c r="E9" s="24" t="n"/>
      <c r="F9" s="24" t="n"/>
      <c r="G9" s="24" t="n"/>
      <c r="H9" s="24" t="n"/>
      <c r="I9" s="24" t="n"/>
    </row>
    <row r="10">
      <c r="A10" s="3" t="inlineStr">
        <is>
          <t>Fiscal year</t>
        </is>
      </c>
      <c r="B10" s="3">
        <f>Model!E5</f>
        <v/>
      </c>
      <c r="C10" s="3">
        <f>Model!F5</f>
        <v/>
      </c>
      <c r="D10" s="3">
        <f>Model!G5</f>
        <v/>
      </c>
    </row>
    <row r="11">
      <c r="A11" t="inlineStr">
        <is>
          <t>Share of the 12 months after the target date</t>
        </is>
      </c>
      <c r="B11" s="12">
        <f>'Calc - research target (12m)'!C38</f>
        <v/>
      </c>
      <c r="C11" s="12">
        <f>'Calc - research target (12m)'!D38</f>
        <v/>
      </c>
      <c r="D11" s="12">
        <f>'Calc - research target (12m)'!E38</f>
        <v/>
      </c>
    </row>
    <row r="12">
      <c r="A12" t="inlineStr">
        <is>
          <t>Model EPS (Model tab)</t>
        </is>
      </c>
      <c r="B12" s="13">
        <f>Model!E29</f>
        <v/>
      </c>
      <c r="C12" s="13">
        <f>Model!F29</f>
        <v/>
      </c>
      <c r="D12" s="13">
        <f>Model!G29</f>
        <v/>
      </c>
    </row>
    <row r="13">
      <c r="A13" t="inlineStr">
        <is>
          <t>Model EPS, next 12 months after the target date</t>
        </is>
      </c>
      <c r="B13" s="30">
        <f>SUMPRODUCT(B11:D11,B12:D12)</f>
        <v/>
      </c>
    </row>
    <row r="14">
      <c r="A14" t="inlineStr">
        <is>
          <t>Stated next-12-month EPS used by the P/E method (consensus basis, cited)</t>
        </is>
      </c>
      <c r="B14" s="29">
        <f>Valuation!F70</f>
        <v/>
      </c>
      <c r="C14" s="27">
        <f>B14/B13-1</f>
        <v/>
      </c>
      <c r="D14" s="2" t="inlineStr">
        <is>
          <t>vs model EPS</t>
        </is>
      </c>
    </row>
    <row r="16">
      <c r="A16" s="23" t="inlineStr">
        <is>
          <t>DCF build (free cash flow to firm, discounted to the target date)</t>
        </is>
      </c>
      <c r="B16" s="24" t="n"/>
      <c r="C16" s="24" t="n"/>
      <c r="D16" s="24" t="n"/>
      <c r="E16" s="24" t="n"/>
      <c r="F16" s="24" t="n"/>
      <c r="G16" s="24" t="n"/>
      <c r="H16" s="24" t="n"/>
      <c r="I16" s="24" t="n"/>
    </row>
    <row r="17">
      <c r="A17" s="3" t="inlineStr">
        <is>
          <t>Fiscal year</t>
        </is>
      </c>
      <c r="B17" s="3">
        <f>Model!E5</f>
        <v/>
      </c>
      <c r="C17" s="3">
        <f>Model!F5</f>
        <v/>
      </c>
      <c r="D17" s="3">
        <f>Model!G5</f>
        <v/>
      </c>
    </row>
    <row r="18">
      <c r="A18" t="inlineStr">
        <is>
          <t>Free cash flow to firm</t>
        </is>
      </c>
      <c r="B18" s="10">
        <f>'Calc - research target (12m)'!C31</f>
        <v/>
      </c>
      <c r="C18" s="10">
        <f>'Calc - research target (12m)'!D31</f>
        <v/>
      </c>
      <c r="D18" s="10">
        <f>'Calc - research target (12m)'!E31</f>
        <v/>
      </c>
    </row>
    <row r="19">
      <c r="A19" t="inlineStr">
        <is>
          <t>Share of the year after the target date</t>
        </is>
      </c>
      <c r="B19" s="12">
        <f>'Calc - research target (12m)'!C35</f>
        <v/>
      </c>
      <c r="C19" s="12">
        <f>'Calc - research target (12m)'!D35</f>
        <v/>
      </c>
      <c r="D19" s="12">
        <f>'Calc - research target (12m)'!E35</f>
        <v/>
      </c>
    </row>
    <row r="20">
      <c r="A20" t="inlineStr">
        <is>
          <t>PV at target date</t>
        </is>
      </c>
      <c r="B20" s="10">
        <f>'Calc - research target (12m)'!C36</f>
        <v/>
      </c>
      <c r="C20" s="10">
        <f>'Calc - research target (12m)'!D36</f>
        <v/>
      </c>
      <c r="D20" s="10">
        <f>'Calc - research target (12m)'!E36</f>
        <v/>
      </c>
    </row>
    <row r="22">
      <c r="A22" t="inlineStr">
        <is>
          <t>PV of free cash flow after the target date</t>
        </is>
      </c>
      <c r="B22" s="10">
        <f>'Calc - research target (12m)'!B42</f>
        <v/>
      </c>
    </row>
    <row r="23">
      <c r="A23" t="inlineStr">
        <is>
          <t>Terminal value (final year)</t>
        </is>
      </c>
      <c r="B23" s="10">
        <f>'Calc - research target (12m)'!B43</f>
        <v/>
      </c>
    </row>
    <row r="24">
      <c r="A24" t="inlineStr">
        <is>
          <t>PV of terminal value</t>
        </is>
      </c>
      <c r="B24" s="10">
        <f>'Calc - research target (12m)'!B44</f>
        <v/>
      </c>
    </row>
    <row r="25">
      <c r="A25" t="inlineStr">
        <is>
          <t>Enterprise value at target date</t>
        </is>
      </c>
      <c r="B25" s="10">
        <f>'Calc - research target (12m)'!B45</f>
        <v/>
      </c>
    </row>
    <row r="26">
      <c r="A26" t="inlineStr">
        <is>
          <t>Terminal value share of DCF</t>
        </is>
      </c>
      <c r="B26" s="12">
        <f>'Calc - research target (12m)'!B46</f>
        <v/>
      </c>
    </row>
    <row r="27">
      <c r="A27" t="inlineStr">
        <is>
          <t>Net debt at target date</t>
        </is>
      </c>
      <c r="B27" s="10">
        <f>'Calc - research target (12m)'!B50</f>
        <v/>
      </c>
    </row>
    <row r="28">
      <c r="A28" t="inlineStr">
        <is>
          <t>Minority interests</t>
        </is>
      </c>
      <c r="B28" s="10">
        <f>'Calc - research target (12m)'!B51</f>
        <v/>
      </c>
    </row>
    <row r="29">
      <c r="A29" t="inlineStr">
        <is>
          <t>Adjustments</t>
        </is>
      </c>
      <c r="B29" s="10">
        <f>'Calc - research target (12m)'!B52</f>
        <v/>
      </c>
    </row>
    <row r="30">
      <c r="A30" t="inlineStr">
        <is>
          <t>Diluted shares at target date (M)</t>
        </is>
      </c>
      <c r="B30" s="34">
        <f>'Calc - research target (12m)'!B53</f>
        <v/>
      </c>
    </row>
    <row r="31">
      <c r="A31" t="inlineStr">
        <is>
          <t>DCF value per share</t>
        </is>
      </c>
      <c r="B31" s="4">
        <f>'Calc - research target (12m)'!F67</f>
        <v/>
      </c>
    </row>
    <row r="32">
      <c r="A32" t="inlineStr">
        <is>
          <t>WACC</t>
        </is>
      </c>
      <c r="B32" s="12">
        <f>'Calc - research target (12m)'!B12</f>
        <v/>
      </c>
    </row>
    <row r="42">
      <c r="A42" s="23" t="inlineStr">
        <is>
          <t>Assumptions (blue = input; sources on the Sources tab)</t>
        </is>
      </c>
      <c r="B42" s="24" t="n"/>
      <c r="C42" s="24" t="n"/>
      <c r="D42" s="24" t="n"/>
      <c r="E42" s="24" t="n"/>
      <c r="F42" s="24" t="n"/>
      <c r="G42" s="24" t="n"/>
      <c r="H42" s="24" t="n"/>
      <c r="I42" s="24" t="n"/>
    </row>
    <row r="43">
      <c r="A43" s="3" t="inlineStr">
        <is>
          <t>Input</t>
        </is>
      </c>
      <c r="B43" s="3" t="inlineStr">
        <is>
          <t>Value</t>
        </is>
      </c>
      <c r="C43" s="3" t="inlineStr">
        <is>
          <t>Basis / note</t>
        </is>
      </c>
    </row>
    <row r="44">
      <c r="A44" t="inlineStr">
        <is>
          <t>Run date (valuation as of)</t>
        </is>
      </c>
      <c r="B44" s="35" t="n">
        <v>46318</v>
      </c>
      <c r="C44" t="inlineStr"/>
    </row>
    <row r="45">
      <c r="A45" t="inlineStr">
        <is>
          <t>Target date (run date + 365 days)</t>
        </is>
      </c>
      <c r="B45" s="22">
        <f>B44+365</f>
        <v/>
      </c>
      <c r="C45" t="inlineStr">
        <is>
          <t>12-month horizon</t>
        </is>
      </c>
    </row>
    <row r="46">
      <c r="A46" t="inlineStr">
        <is>
          <t>Money unit</t>
        </is>
      </c>
      <c r="B46" s="36" t="inlineStr">
        <is>
          <t>$M</t>
        </is>
      </c>
      <c r="C46" t="inlineStr"/>
    </row>
    <row r="47">
      <c r="A47" t="inlineStr">
        <is>
          <t>EBIT basis (gaap / adjusted)</t>
        </is>
      </c>
      <c r="B47" s="36" t="inlineStr">
        <is>
          <t>gaap</t>
        </is>
      </c>
      <c r="C47" t="inlineStr">
        <is>
          <t>gaap = after stock comp</t>
        </is>
      </c>
    </row>
    <row r="48">
      <c r="A48" t="inlineStr">
        <is>
          <t>Stock comp treatment (cost / dilution)</t>
        </is>
      </c>
      <c r="B48" s="36" t="inlineStr">
        <is>
          <t>cost</t>
        </is>
      </c>
      <c r="C48" t="inlineStr">
        <is>
          <t>used only when EBIT is adjusted</t>
        </is>
      </c>
    </row>
    <row r="49">
      <c r="A49" t="inlineStr">
        <is>
          <t>Last reported fiscal year end</t>
        </is>
      </c>
      <c r="B49" s="35" t="n">
        <v>46022</v>
      </c>
      <c r="C49" t="inlineStr"/>
    </row>
    <row r="50">
      <c r="A50" t="inlineStr">
        <is>
          <t>Net sales, last reported year ($M)</t>
        </is>
      </c>
      <c r="B50" s="32" t="n">
        <v>26917</v>
      </c>
      <c r="C50" t="inlineStr"/>
    </row>
    <row r="51">
      <c r="A51" t="inlineStr">
        <is>
          <t>WACC</t>
        </is>
      </c>
      <c r="B51" s="31" t="n">
        <v>0.0864</v>
      </c>
      <c r="C51" t="inlineStr">
        <is>
          <t>filled in (not stated in this set's original work): cost of equity 0.0875 = T-bill 0.0420 + beta 0.91 x 5% (the price target's market leg, 2026-10-02); after-tax debt 0.0550 x (1 - 0.224) on net debt and minorities 2,966 vs equity 119,488 (751.40M x $159.02) -&gt; WACC 0.0864</t>
        </is>
      </c>
    </row>
    <row r="52">
      <c r="A52" t="inlineStr">
        <is>
          <t>Terminal method (gordon / exit_multiple / steady_state)</t>
        </is>
      </c>
      <c r="B52" s="36" t="inlineStr">
        <is>
          <t>gordon</t>
        </is>
      </c>
      <c r="C52" t="inlineStr"/>
    </row>
    <row r="53">
      <c r="A53" t="inlineStr">
        <is>
          <t>Terminal growth</t>
        </is>
      </c>
      <c r="B53" s="31" t="n">
        <v>0.03</v>
      </c>
      <c r="C53" t="inlineStr"/>
    </row>
    <row r="54">
      <c r="A54" t="inlineStr">
        <is>
          <t>Exit EV/EBITDA (exit_multiple only)</t>
        </is>
      </c>
      <c r="B54" s="37" t="n"/>
      <c r="C54" t="inlineStr"/>
    </row>
    <row r="55">
      <c r="A55" t="inlineStr">
        <is>
          <t>Balance-sheet date</t>
        </is>
      </c>
      <c r="B55" s="35" t="n">
        <v>46203</v>
      </c>
      <c r="C55" t="inlineStr"/>
    </row>
    <row r="56">
      <c r="A56" t="inlineStr">
        <is>
          <t>Net debt / (net cash) at balance date ($M)</t>
        </is>
      </c>
      <c r="B56" s="32" t="n">
        <v>2966</v>
      </c>
      <c r="C56" t="inlineStr">
        <is>
          <t>excludes operating leases</t>
        </is>
      </c>
    </row>
    <row r="57">
      <c r="A57" t="inlineStr">
        <is>
          <t>Minority interests + preferred stock</t>
        </is>
      </c>
      <c r="B57" s="32" t="n">
        <v>0</v>
      </c>
      <c r="C57" t="inlineStr"/>
    </row>
    <row r="58">
      <c r="A58" t="inlineStr">
        <is>
          <t>Interest rate on net debt / cash</t>
        </is>
      </c>
      <c r="B58" s="31" t="n">
        <v>0.055</v>
      </c>
      <c r="C58" t="inlineStr"/>
    </row>
    <row r="59">
      <c r="A59" t="inlineStr">
        <is>
          <t>Net debt at target date (override; blank = bridge)</t>
        </is>
      </c>
      <c r="B59" s="32" t="n">
        <v>2966</v>
      </c>
      <c r="C59" t="inlineStr"/>
    </row>
    <row r="60">
      <c r="A60" t="inlineStr">
        <is>
          <t>Diluted shares (M)</t>
        </is>
      </c>
      <c r="B60" s="38" t="n">
        <v>751.4</v>
      </c>
      <c r="C60" t="inlineStr"/>
    </row>
    <row r="61">
      <c r="A61" t="inlineStr">
        <is>
          <t>Share count date</t>
        </is>
      </c>
      <c r="B61" s="35" t="n">
        <v>46230</v>
      </c>
      <c r="C61" t="inlineStr"/>
    </row>
    <row r="62">
      <c r="A62" t="inlineStr">
        <is>
          <t>Annual change in diluted shares</t>
        </is>
      </c>
      <c r="B62" s="31" t="n">
        <v>-0.06</v>
      </c>
      <c r="C62" t="inlineStr">
        <is>
          <t>net of buybacks and stock-comp dilution</t>
        </is>
      </c>
    </row>
    <row r="63">
      <c r="A63" t="inlineStr">
        <is>
          <t>Shares at target date (override; blank = from annual change)</t>
        </is>
      </c>
      <c r="B63" s="38" t="n">
        <v>702.95689</v>
      </c>
      <c r="C63" t="inlineStr"/>
    </row>
    <row r="64">
      <c r="A64" t="inlineStr">
        <is>
          <t>DCF weight</t>
        </is>
      </c>
      <c r="B64" s="31" t="n">
        <v>0</v>
      </c>
      <c r="C64" t="inlineStr">
        <is>
          <t>Kilian 2026-10-21: 0 unless the name has a DCF leg (dcf_policy)</t>
        </is>
      </c>
    </row>
    <row r="65">
      <c r="A65" t="inlineStr">
        <is>
          <t>Sum-of-the-parts weight</t>
        </is>
      </c>
      <c r="B65" s="31" t="n">
        <v>0</v>
      </c>
      <c r="C65" t="inlineStr"/>
    </row>
    <row r="66">
      <c r="A66" t="inlineStr">
        <is>
          <t>Spread within each scenario (lognormal vol)</t>
        </is>
      </c>
      <c r="B66" s="31" t="n">
        <v>0.275</v>
      </c>
      <c r="C66" t="inlineStr"/>
    </row>
    <row r="67">
      <c r="A67" t="inlineStr">
        <is>
          <t>Share price at the run</t>
        </is>
      </c>
      <c r="B67" s="39" t="n">
        <v>155.83</v>
      </c>
      <c r="C67" t="inlineStr">
        <is>
          <t>close used by the run (2026-10-23)</t>
        </is>
      </c>
    </row>
    <row r="69">
      <c r="A69" s="3" t="inlineStr">
        <is>
          <t>Target multiple</t>
        </is>
      </c>
      <c r="B69" s="3" t="inlineStr">
        <is>
          <t>Multiple</t>
        </is>
      </c>
      <c r="C69" s="3" t="inlineStr">
        <is>
          <t>Weight</t>
        </is>
      </c>
      <c r="D69" s="3" t="inlineStr">
        <is>
          <t>Basis (ntm / ltm)</t>
        </is>
      </c>
      <c r="E69" s="3" t="inlineStr">
        <is>
          <t>EBITDA basis</t>
        </is>
      </c>
      <c r="F69" s="3" t="inlineStr">
        <is>
          <t>Stated EPS</t>
        </is>
      </c>
      <c r="G69" s="3" t="inlineStr">
        <is>
          <t>Stated FCF/share</t>
        </is>
      </c>
      <c r="H69" s="3" t="inlineStr">
        <is>
          <t>Levered</t>
        </is>
      </c>
      <c r="I69" s="3" t="inlineStr">
        <is>
          <t>Peer basis</t>
        </is>
      </c>
    </row>
    <row r="70">
      <c r="A70" s="36" t="inlineStr">
        <is>
          <t>P/E</t>
        </is>
      </c>
      <c r="B70" s="37" t="n">
        <v>13.32</v>
      </c>
      <c r="C70" s="31" t="n">
        <v>0.6</v>
      </c>
      <c r="D70" s="36" t="inlineStr">
        <is>
          <t>ntm</t>
        </is>
      </c>
      <c r="E70" s="36" t="inlineStr">
        <is>
          <t>gaap</t>
        </is>
      </c>
      <c r="F70" s="40" t="n">
        <v>13.12774481891312</v>
      </c>
      <c r="G70" s="40" t="n"/>
      <c r="H70" s="36" t="b">
        <v>1</v>
      </c>
      <c r="I70" t="inlineStr">
        <is>
          <t>Peer refresh 2026-10-26: median of EXPE 14.54x, Amadeus 14.78x (adjusted), ABNB 28.16x = 14.78x NTM P/E on BKNG's basis (adjusted EPS, SBC in costs; calendar NTM at the 2026-10-23 close); 3 peers (peer_count_flag). BKNG trades at 12.98x. Per-share figure computed from the drivers (driver_build.set). EXIT k=0.8 (2026-10-26T12:28Z): Exit-multiple rule (Kilian card 2026-10-26 12:16Z; METHOD.md Peer comparables): exit = peer median x (own NTM multiple / peer median)^k, k = 0.8. Peer median 14.78x; own 12.98x: BKNG $155.83 / calendar-NTM Zacks adj EPS $12.0046 = 12.98x (row 'BKNG own NTM P/E (same basis)'). 14.78 x (12.98 / 14.78)^0.8 = 14.78 x 0.9013 = 13.32x (was 14.78x). The FCF-yield leg (8%, today's TTM yield) already sits at BKNG's own level and has no peer median; unchanged.</t>
        </is>
      </c>
    </row>
    <row r="71">
      <c r="A71" s="36" t="inlineStr">
        <is>
          <t>FCF yield</t>
        </is>
      </c>
      <c r="B71" s="31" t="n">
        <v>0.08</v>
      </c>
      <c r="C71" s="31" t="n">
        <v>0.4</v>
      </c>
      <c r="D71" s="36" t="inlineStr">
        <is>
          <t>ntm</t>
        </is>
      </c>
      <c r="E71" s="36" t="inlineStr">
        <is>
          <t>gaap</t>
        </is>
      </c>
      <c r="F71" s="40" t="n"/>
      <c r="G71" s="40" t="n">
        <v>15.67365078619489</v>
      </c>
      <c r="H71" s="36" t="b">
        <v>1</v>
      </c>
      <c r="I71" t="inlineStr">
        <is>
          <t>Supervisor: ~8% (today's TTM FCF yield, no re-rating) on ~$15.8 NTM FCF per share before SBC; consistent with agent 3's 7.5% after SBC. No net-debt deduction. Per-share figure now computed from the drivers (driver_build.set).</t>
        </is>
      </c>
    </row>
    <row r="73">
      <c r="A73" s="3" t="inlineStr">
        <is>
          <t>Segment (sum of the parts)</t>
        </is>
      </c>
      <c r="B73" s="3" t="inlineStr">
        <is>
          <t>NTM metric</t>
        </is>
      </c>
      <c r="C73" s="3" t="inlineStr">
        <is>
          <t>Metric</t>
        </is>
      </c>
      <c r="D73" s="3" t="inlineStr">
        <is>
          <t>Multiple</t>
        </is>
      </c>
      <c r="E73" s="3" t="inlineStr">
        <is>
          <t>Note</t>
        </is>
      </c>
    </row>
    <row r="74">
      <c r="A74" s="11" t="inlineStr">
        <is>
          <t>none</t>
        </is>
      </c>
    </row>
    <row r="76">
      <c r="A76" s="3" t="inlineStr">
        <is>
          <t>Adjustment (equity level)</t>
        </is>
      </c>
      <c r="B76" s="3" t="inlineStr">
        <is>
          <t>Value</t>
        </is>
      </c>
      <c r="C76" s="3" t="inlineStr">
        <is>
          <t>Probability</t>
        </is>
      </c>
      <c r="D76" s="3" t="inlineStr">
        <is>
          <t>Note</t>
        </is>
      </c>
    </row>
    <row r="77">
      <c r="A77" s="11" t="inlineStr">
        <is>
          <t>none</t>
        </is>
      </c>
    </row>
    <row r="79">
      <c r="A79" s="3" t="inlineStr">
        <is>
          <t>Custom method</t>
        </is>
      </c>
      <c r="B79" s="3" t="inlineStr">
        <is>
          <t>Value per share</t>
        </is>
      </c>
      <c r="C79" s="3" t="inlineStr">
        <is>
          <t>Weight</t>
        </is>
      </c>
      <c r="D79" s="3" t="inlineStr">
        <is>
          <t>Explanation</t>
        </is>
      </c>
    </row>
    <row r="80">
      <c r="A80" s="11" t="inlineStr">
        <is>
          <t>none</t>
        </is>
      </c>
    </row>
    <row r="82">
      <c r="A82" s="3" t="inlineStr">
        <is>
          <t>Scenario</t>
        </is>
      </c>
      <c r="B82" s="3" t="inlineStr">
        <is>
          <t>Probability</t>
        </is>
      </c>
      <c r="C82" s="3" t="inlineStr">
        <is>
          <t>Growth Δ</t>
        </is>
      </c>
      <c r="D82" s="3" t="inlineStr">
        <is>
          <t>Margin Δ</t>
        </is>
      </c>
      <c r="E82" s="3" t="inlineStr">
        <is>
          <t>Multiple Δ (turns)</t>
        </is>
      </c>
      <c r="F82" s="3" t="inlineStr">
        <is>
          <t>WACC Δ</t>
        </is>
      </c>
      <c r="G82" s="3" t="inlineStr">
        <is>
          <t>Multiple %Δ (FCF yield, segments)</t>
        </is>
      </c>
      <c r="H82" s="3" t="inlineStr">
        <is>
          <t>Stated EPS/FCF %Δ</t>
        </is>
      </c>
      <c r="I82" s="3" t="inlineStr">
        <is>
          <t>Custom methods %Δ</t>
        </is>
      </c>
      <c r="J82" s="3" t="inlineStr">
        <is>
          <t>Story</t>
        </is>
      </c>
    </row>
    <row r="83">
      <c r="A83" t="inlineStr">
        <is>
          <t>bear</t>
        </is>
      </c>
      <c r="B83" s="31" t="n">
        <v>0.25</v>
      </c>
      <c r="C83" s="31" t="n"/>
      <c r="D83" s="31" t="n"/>
      <c r="E83" s="41" t="n">
        <v>-4.25</v>
      </c>
      <c r="F83" s="31" t="n"/>
      <c r="G83" s="31" t="n">
        <v>-0.5076000000000001</v>
      </c>
      <c r="H83" s="31" t="n"/>
      <c r="I83" s="31" t="n"/>
      <c r="J83" s="42" t="inlineStr">
        <is>
          <t>Forecasters' median bear (their $110-120; the supervisor set no scenarios of its own): AI agents (Muse/Expedia, Google, ChatGPT) take share or force take-rate and marketing concessions, oil/Middle East and the Fed hiking cycle slow travel, and the legal tail builds (FTC/Priceline, Dutch and German parity claims, CNMC $472M accrued). NTM EPS ~$11.5 at ~10.0x = ~$115. Driver restatement: room nights -4.5% (agent 4 'low single digits'), take rate -2% (agents 2, 3, 5 'take-rate concessions'), marketing +20bp of GB (agents 1, 3, 4 'push marketing costs up'); multiple deltas kept.</t>
        </is>
      </c>
      <c r="K83" s="42" t="inlineStr">
        <is>
          <t>driver deltas: rn -0.045 %; take -0.02 %; mkt +0.002</t>
        </is>
      </c>
    </row>
    <row r="84">
      <c r="A84" t="inlineStr">
        <is>
          <t>base</t>
        </is>
      </c>
      <c r="B84" s="31" t="n">
        <v>0.5</v>
      </c>
      <c r="C84" s="31" t="n"/>
      <c r="D84" s="31" t="n"/>
      <c r="E84" s="41" t="n">
        <v>-0.25</v>
      </c>
      <c r="F84" s="31" t="n"/>
      <c r="G84" s="31" t="n">
        <v>-0.0828</v>
      </c>
      <c r="H84" s="31" t="n"/>
      <c r="I84" s="31" t="n"/>
      <c r="J84" s="42" t="inlineStr">
        <is>
          <t>[exit k=0.8 2026-10-26: P/E 14.78x -&gt; 13.32x] Forecasters' median base (their $175-186): low-to-mid-teens EPS compounding, about half of it from the ~6%/yr share shrink; the AI overhang persists but does not deepen; ~14.0x on ~$13.1 NTM EPS = ~$183. This sits below the reconciled fair value ($191), as every forecaster's base scenario sits below its own fair value.</t>
        </is>
      </c>
    </row>
    <row r="85">
      <c r="A85" t="inlineStr">
        <is>
          <t>bull</t>
        </is>
      </c>
      <c r="B85" s="31" t="n">
        <v>0.25</v>
      </c>
      <c r="C85" s="31" t="n"/>
      <c r="D85" s="31" t="n"/>
      <c r="E85" s="41" t="n">
        <v>3.25</v>
      </c>
      <c r="F85" s="31" t="n"/>
      <c r="G85" s="31" t="n">
        <v>0.1619</v>
      </c>
      <c r="H85" s="31" t="n"/>
      <c r="I85" s="31" t="n"/>
      <c r="J85" s="42" t="inlineStr">
        <is>
          <t>Forecasters' median bull (their $228-255): travel normalises, Booking proves a supply partner to AI agents, and the multiple re-rates to ~17.5x on ~$13.45 NTM EPS (~$238). Driver restatement: room nights +1.5% (travel normalises, agents 1, 5), other opex -40bp (transformation savings land, agent 1); multiple deltas kept.</t>
        </is>
      </c>
      <c r="K85" s="42" t="inlineStr">
        <is>
          <t>driver deltas: rn +0.015 %; opex -0.004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BKNG: sensitivity tables (bold = current inputs; every cell recalculates from the live model)</t>
        </is>
      </c>
    </row>
    <row r="3">
      <c r="A3" s="21" t="inlineStr">
        <is>
          <t>DCF value per share: WACC (down) x terminal growth (across)</t>
        </is>
      </c>
    </row>
    <row r="4">
      <c r="A4" s="21" t="inlineStr">
        <is>
          <t>WACC \ growth</t>
        </is>
      </c>
      <c r="B4" s="7">
        <f>Valuation!$B$53+(-0.01)</f>
        <v/>
      </c>
      <c r="C4" s="7">
        <f>Valuation!$B$53+(-0.005)</f>
        <v/>
      </c>
      <c r="D4" s="7">
        <f>Valuation!$B$53+(0)</f>
        <v/>
      </c>
      <c r="E4" s="7">
        <f>Valuation!$B$53+(0.005)</f>
        <v/>
      </c>
      <c r="F4" s="7">
        <f>Valuation!$B$53+(0.01)</f>
        <v/>
      </c>
    </row>
    <row r="5">
      <c r="A5" s="7">
        <f>Valuation!$B$51+(-0.01)</f>
        <v/>
      </c>
      <c r="B5" s="9">
        <f>IF($A5-B$4&lt;=0.01,"n/a",((SUMPRODUCT('Calc - research target (12m)'!$C$31:$E$31,'Calc - research target (12m)'!$C$35:$E$35,(1+$A5)^(-('Calc - research target (12m)'!$C$19:$E$19-'Calc - research target (12m)'!$B$13)))+'Calc - research target (12m)'!$E$31*(1+B$4)/($A5-B$4)/(1+$A5)^('Calc - research target (12m)'!$B$16-'Calc - research target (12m)'!$B$13))-'Calc - research target (12m)'!$B$50-'Calc - research target (12m)'!$B$51+'Calc - research target (12m)'!$B$52)/'Calc - research target (12m)'!$B$53)</f>
        <v/>
      </c>
      <c r="C5" s="9">
        <f>IF($A5-C$4&lt;=0.01,"n/a",((SUMPRODUCT('Calc - research target (12m)'!$C$31:$E$31,'Calc - research target (12m)'!$C$35:$E$35,(1+$A5)^(-('Calc - research target (12m)'!$C$19:$E$19-'Calc - research target (12m)'!$B$13)))+'Calc - research target (12m)'!$E$31*(1+C$4)/($A5-C$4)/(1+$A5)^('Calc - research target (12m)'!$B$16-'Calc - research target (12m)'!$B$13))-'Calc - research target (12m)'!$B$50-'Calc - research target (12m)'!$B$51+'Calc - research target (12m)'!$B$52)/'Calc - research target (12m)'!$B$53)</f>
        <v/>
      </c>
      <c r="D5" s="9">
        <f>IF($A5-D$4&lt;=0.01,"n/a",((SUMPRODUCT('Calc - research target (12m)'!$C$31:$E$31,'Calc - research target (12m)'!$C$35:$E$35,(1+$A5)^(-('Calc - research target (12m)'!$C$19:$E$19-'Calc - research target (12m)'!$B$13)))+'Calc - research target (12m)'!$E$31*(1+D$4)/($A5-D$4)/(1+$A5)^('Calc - research target (12m)'!$B$16-'Calc - research target (12m)'!$B$13))-'Calc - research target (12m)'!$B$50-'Calc - research target (12m)'!$B$51+'Calc - research target (12m)'!$B$52)/'Calc - research target (12m)'!$B$53)</f>
        <v/>
      </c>
      <c r="E5" s="9">
        <f>IF($A5-E$4&lt;=0.01,"n/a",((SUMPRODUCT('Calc - research target (12m)'!$C$31:$E$31,'Calc - research target (12m)'!$C$35:$E$35,(1+$A5)^(-('Calc - research target (12m)'!$C$19:$E$19-'Calc - research target (12m)'!$B$13)))+'Calc - research target (12m)'!$E$31*(1+E$4)/($A5-E$4)/(1+$A5)^('Calc - research target (12m)'!$B$16-'Calc - research target (12m)'!$B$13))-'Calc - research target (12m)'!$B$50-'Calc - research target (12m)'!$B$51+'Calc - research target (12m)'!$B$52)/'Calc - research target (12m)'!$B$53)</f>
        <v/>
      </c>
      <c r="F5" s="9">
        <f>IF($A5-F$4&lt;=0.01,"n/a",((SUMPRODUCT('Calc - research target (12m)'!$C$31:$E$31,'Calc - research target (12m)'!$C$35:$E$35,(1+$A5)^(-('Calc - research target (12m)'!$C$19:$E$19-'Calc - research target (12m)'!$B$13)))+'Calc - research target (12m)'!$E$31*(1+F$4)/($A5-F$4)/(1+$A5)^('Calc - research target (12m)'!$B$16-'Calc - research target (12m)'!$B$13))-'Calc - research target (12m)'!$B$50-'Calc - research target (12m)'!$B$51+'Calc - research target (12m)'!$B$52)/'Calc - research target (12m)'!$B$53)</f>
        <v/>
      </c>
    </row>
    <row r="6">
      <c r="A6" s="7">
        <f>Valuation!$B$51+(-0.005)</f>
        <v/>
      </c>
      <c r="B6" s="9">
        <f>IF($A6-B$4&lt;=0.01,"n/a",((SUMPRODUCT('Calc - research target (12m)'!$C$31:$E$31,'Calc - research target (12m)'!$C$35:$E$35,(1+$A6)^(-('Calc - research target (12m)'!$C$19:$E$19-'Calc - research target (12m)'!$B$13)))+'Calc - research target (12m)'!$E$31*(1+B$4)/($A6-B$4)/(1+$A6)^('Calc - research target (12m)'!$B$16-'Calc - research target (12m)'!$B$13))-'Calc - research target (12m)'!$B$50-'Calc - research target (12m)'!$B$51+'Calc - research target (12m)'!$B$52)/'Calc - research target (12m)'!$B$53)</f>
        <v/>
      </c>
      <c r="C6" s="9">
        <f>IF($A6-C$4&lt;=0.01,"n/a",((SUMPRODUCT('Calc - research target (12m)'!$C$31:$E$31,'Calc - research target (12m)'!$C$35:$E$35,(1+$A6)^(-('Calc - research target (12m)'!$C$19:$E$19-'Calc - research target (12m)'!$B$13)))+'Calc - research target (12m)'!$E$31*(1+C$4)/($A6-C$4)/(1+$A6)^('Calc - research target (12m)'!$B$16-'Calc - research target (12m)'!$B$13))-'Calc - research target (12m)'!$B$50-'Calc - research target (12m)'!$B$51+'Calc - research target (12m)'!$B$52)/'Calc - research target (12m)'!$B$53)</f>
        <v/>
      </c>
      <c r="D6" s="9">
        <f>IF($A6-D$4&lt;=0.01,"n/a",((SUMPRODUCT('Calc - research target (12m)'!$C$31:$E$31,'Calc - research target (12m)'!$C$35:$E$35,(1+$A6)^(-('Calc - research target (12m)'!$C$19:$E$19-'Calc - research target (12m)'!$B$13)))+'Calc - research target (12m)'!$E$31*(1+D$4)/($A6-D$4)/(1+$A6)^('Calc - research target (12m)'!$B$16-'Calc - research target (12m)'!$B$13))-'Calc - research target (12m)'!$B$50-'Calc - research target (12m)'!$B$51+'Calc - research target (12m)'!$B$52)/'Calc - research target (12m)'!$B$53)</f>
        <v/>
      </c>
      <c r="E6" s="9">
        <f>IF($A6-E$4&lt;=0.01,"n/a",((SUMPRODUCT('Calc - research target (12m)'!$C$31:$E$31,'Calc - research target (12m)'!$C$35:$E$35,(1+$A6)^(-('Calc - research target (12m)'!$C$19:$E$19-'Calc - research target (12m)'!$B$13)))+'Calc - research target (12m)'!$E$31*(1+E$4)/($A6-E$4)/(1+$A6)^('Calc - research target (12m)'!$B$16-'Calc - research target (12m)'!$B$13))-'Calc - research target (12m)'!$B$50-'Calc - research target (12m)'!$B$51+'Calc - research target (12m)'!$B$52)/'Calc - research target (12m)'!$B$53)</f>
        <v/>
      </c>
      <c r="F6" s="9">
        <f>IF($A6-F$4&lt;=0.01,"n/a",((SUMPRODUCT('Calc - research target (12m)'!$C$31:$E$31,'Calc - research target (12m)'!$C$35:$E$35,(1+$A6)^(-('Calc - research target (12m)'!$C$19:$E$19-'Calc - research target (12m)'!$B$13)))+'Calc - research target (12m)'!$E$31*(1+F$4)/($A6-F$4)/(1+$A6)^('Calc - research target (12m)'!$B$16-'Calc - research target (12m)'!$B$13))-'Calc - research target (12m)'!$B$50-'Calc - research target (12m)'!$B$51+'Calc - research target (12m)'!$B$52)/'Calc - research target (12m)'!$B$53)</f>
        <v/>
      </c>
    </row>
    <row r="7">
      <c r="A7" s="7">
        <f>Valuation!$B$51+(0)</f>
        <v/>
      </c>
      <c r="B7" s="9">
        <f>IF($A7-B$4&lt;=0.01,"n/a",((SUMPRODUCT('Calc - research target (12m)'!$C$31:$E$31,'Calc - research target (12m)'!$C$35:$E$35,(1+$A7)^(-('Calc - research target (12m)'!$C$19:$E$19-'Calc - research target (12m)'!$B$13)))+'Calc - research target (12m)'!$E$31*(1+B$4)/($A7-B$4)/(1+$A7)^('Calc - research target (12m)'!$B$16-'Calc - research target (12m)'!$B$13))-'Calc - research target (12m)'!$B$50-'Calc - research target (12m)'!$B$51+'Calc - research target (12m)'!$B$52)/'Calc - research target (12m)'!$B$53)</f>
        <v/>
      </c>
      <c r="C7" s="9">
        <f>IF($A7-C$4&lt;=0.01,"n/a",((SUMPRODUCT('Calc - research target (12m)'!$C$31:$E$31,'Calc - research target (12m)'!$C$35:$E$35,(1+$A7)^(-('Calc - research target (12m)'!$C$19:$E$19-'Calc - research target (12m)'!$B$13)))+'Calc - research target (12m)'!$E$31*(1+C$4)/($A7-C$4)/(1+$A7)^('Calc - research target (12m)'!$B$16-'Calc - research target (12m)'!$B$13))-'Calc - research target (12m)'!$B$50-'Calc - research target (12m)'!$B$51+'Calc - research target (12m)'!$B$52)/'Calc - research target (12m)'!$B$53)</f>
        <v/>
      </c>
      <c r="D7" s="6">
        <f>IF($A7-D$4&lt;=0.01,"n/a",((SUMPRODUCT('Calc - research target (12m)'!$C$31:$E$31,'Calc - research target (12m)'!$C$35:$E$35,(1+$A7)^(-('Calc - research target (12m)'!$C$19:$E$19-'Calc - research target (12m)'!$B$13)))+'Calc - research target (12m)'!$E$31*(1+D$4)/($A7-D$4)/(1+$A7)^('Calc - research target (12m)'!$B$16-'Calc - research target (12m)'!$B$13))-'Calc - research target (12m)'!$B$50-'Calc - research target (12m)'!$B$51+'Calc - research target (12m)'!$B$52)/'Calc - research target (12m)'!$B$53)</f>
        <v/>
      </c>
      <c r="E7" s="9">
        <f>IF($A7-E$4&lt;=0.01,"n/a",((SUMPRODUCT('Calc - research target (12m)'!$C$31:$E$31,'Calc - research target (12m)'!$C$35:$E$35,(1+$A7)^(-('Calc - research target (12m)'!$C$19:$E$19-'Calc - research target (12m)'!$B$13)))+'Calc - research target (12m)'!$E$31*(1+E$4)/($A7-E$4)/(1+$A7)^('Calc - research target (12m)'!$B$16-'Calc - research target (12m)'!$B$13))-'Calc - research target (12m)'!$B$50-'Calc - research target (12m)'!$B$51+'Calc - research target (12m)'!$B$52)/'Calc - research target (12m)'!$B$53)</f>
        <v/>
      </c>
      <c r="F7" s="9">
        <f>IF($A7-F$4&lt;=0.01,"n/a",((SUMPRODUCT('Calc - research target (12m)'!$C$31:$E$31,'Calc - research target (12m)'!$C$35:$E$35,(1+$A7)^(-('Calc - research target (12m)'!$C$19:$E$19-'Calc - research target (12m)'!$B$13)))+'Calc - research target (12m)'!$E$31*(1+F$4)/($A7-F$4)/(1+$A7)^('Calc - research target (12m)'!$B$16-'Calc - research target (12m)'!$B$13))-'Calc - research target (12m)'!$B$50-'Calc - research target (12m)'!$B$51+'Calc - research target (12m)'!$B$52)/'Calc - research target (12m)'!$B$53)</f>
        <v/>
      </c>
    </row>
    <row r="8">
      <c r="A8" s="7">
        <f>Valuation!$B$51+(0.005)</f>
        <v/>
      </c>
      <c r="B8" s="9">
        <f>IF($A8-B$4&lt;=0.01,"n/a",((SUMPRODUCT('Calc - research target (12m)'!$C$31:$E$31,'Calc - research target (12m)'!$C$35:$E$35,(1+$A8)^(-('Calc - research target (12m)'!$C$19:$E$19-'Calc - research target (12m)'!$B$13)))+'Calc - research target (12m)'!$E$31*(1+B$4)/($A8-B$4)/(1+$A8)^('Calc - research target (12m)'!$B$16-'Calc - research target (12m)'!$B$13))-'Calc - research target (12m)'!$B$50-'Calc - research target (12m)'!$B$51+'Calc - research target (12m)'!$B$52)/'Calc - research target (12m)'!$B$53)</f>
        <v/>
      </c>
      <c r="C8" s="9">
        <f>IF($A8-C$4&lt;=0.01,"n/a",((SUMPRODUCT('Calc - research target (12m)'!$C$31:$E$31,'Calc - research target (12m)'!$C$35:$E$35,(1+$A8)^(-('Calc - research target (12m)'!$C$19:$E$19-'Calc - research target (12m)'!$B$13)))+'Calc - research target (12m)'!$E$31*(1+C$4)/($A8-C$4)/(1+$A8)^('Calc - research target (12m)'!$B$16-'Calc - research target (12m)'!$B$13))-'Calc - research target (12m)'!$B$50-'Calc - research target (12m)'!$B$51+'Calc - research target (12m)'!$B$52)/'Calc - research target (12m)'!$B$53)</f>
        <v/>
      </c>
      <c r="D8" s="9">
        <f>IF($A8-D$4&lt;=0.01,"n/a",((SUMPRODUCT('Calc - research target (12m)'!$C$31:$E$31,'Calc - research target (12m)'!$C$35:$E$35,(1+$A8)^(-('Calc - research target (12m)'!$C$19:$E$19-'Calc - research target (12m)'!$B$13)))+'Calc - research target (12m)'!$E$31*(1+D$4)/($A8-D$4)/(1+$A8)^('Calc - research target (12m)'!$B$16-'Calc - research target (12m)'!$B$13))-'Calc - research target (12m)'!$B$50-'Calc - research target (12m)'!$B$51+'Calc - research target (12m)'!$B$52)/'Calc - research target (12m)'!$B$53)</f>
        <v/>
      </c>
      <c r="E8" s="9">
        <f>IF($A8-E$4&lt;=0.01,"n/a",((SUMPRODUCT('Calc - research target (12m)'!$C$31:$E$31,'Calc - research target (12m)'!$C$35:$E$35,(1+$A8)^(-('Calc - research target (12m)'!$C$19:$E$19-'Calc - research target (12m)'!$B$13)))+'Calc - research target (12m)'!$E$31*(1+E$4)/($A8-E$4)/(1+$A8)^('Calc - research target (12m)'!$B$16-'Calc - research target (12m)'!$B$13))-'Calc - research target (12m)'!$B$50-'Calc - research target (12m)'!$B$51+'Calc - research target (12m)'!$B$52)/'Calc - research target (12m)'!$B$53)</f>
        <v/>
      </c>
      <c r="F8" s="9">
        <f>IF($A8-F$4&lt;=0.01,"n/a",((SUMPRODUCT('Calc - research target (12m)'!$C$31:$E$31,'Calc - research target (12m)'!$C$35:$E$35,(1+$A8)^(-('Calc - research target (12m)'!$C$19:$E$19-'Calc - research target (12m)'!$B$13)))+'Calc - research target (12m)'!$E$31*(1+F$4)/($A8-F$4)/(1+$A8)^('Calc - research target (12m)'!$B$16-'Calc - research target (12m)'!$B$13))-'Calc - research target (12m)'!$B$50-'Calc - research target (12m)'!$B$51+'Calc - research target (12m)'!$B$52)/'Calc - research target (12m)'!$B$53)</f>
        <v/>
      </c>
    </row>
    <row r="9">
      <c r="A9" s="7">
        <f>Valuation!$B$51+(0.01)</f>
        <v/>
      </c>
      <c r="B9" s="9">
        <f>IF($A9-B$4&lt;=0.01,"n/a",((SUMPRODUCT('Calc - research target (12m)'!$C$31:$E$31,'Calc - research target (12m)'!$C$35:$E$35,(1+$A9)^(-('Calc - research target (12m)'!$C$19:$E$19-'Calc - research target (12m)'!$B$13)))+'Calc - research target (12m)'!$E$31*(1+B$4)/($A9-B$4)/(1+$A9)^('Calc - research target (12m)'!$B$16-'Calc - research target (12m)'!$B$13))-'Calc - research target (12m)'!$B$50-'Calc - research target (12m)'!$B$51+'Calc - research target (12m)'!$B$52)/'Calc - research target (12m)'!$B$53)</f>
        <v/>
      </c>
      <c r="C9" s="9">
        <f>IF($A9-C$4&lt;=0.01,"n/a",((SUMPRODUCT('Calc - research target (12m)'!$C$31:$E$31,'Calc - research target (12m)'!$C$35:$E$35,(1+$A9)^(-('Calc - research target (12m)'!$C$19:$E$19-'Calc - research target (12m)'!$B$13)))+'Calc - research target (12m)'!$E$31*(1+C$4)/($A9-C$4)/(1+$A9)^('Calc - research target (12m)'!$B$16-'Calc - research target (12m)'!$B$13))-'Calc - research target (12m)'!$B$50-'Calc - research target (12m)'!$B$51+'Calc - research target (12m)'!$B$52)/'Calc - research target (12m)'!$B$53)</f>
        <v/>
      </c>
      <c r="D9" s="9">
        <f>IF($A9-D$4&lt;=0.01,"n/a",((SUMPRODUCT('Calc - research target (12m)'!$C$31:$E$31,'Calc - research target (12m)'!$C$35:$E$35,(1+$A9)^(-('Calc - research target (12m)'!$C$19:$E$19-'Calc - research target (12m)'!$B$13)))+'Calc - research target (12m)'!$E$31*(1+D$4)/($A9-D$4)/(1+$A9)^('Calc - research target (12m)'!$B$16-'Calc - research target (12m)'!$B$13))-'Calc - research target (12m)'!$B$50-'Calc - research target (12m)'!$B$51+'Calc - research target (12m)'!$B$52)/'Calc - research target (12m)'!$B$53)</f>
        <v/>
      </c>
      <c r="E9" s="9">
        <f>IF($A9-E$4&lt;=0.01,"n/a",((SUMPRODUCT('Calc - research target (12m)'!$C$31:$E$31,'Calc - research target (12m)'!$C$35:$E$35,(1+$A9)^(-('Calc - research target (12m)'!$C$19:$E$19-'Calc - research target (12m)'!$B$13)))+'Calc - research target (12m)'!$E$31*(1+E$4)/($A9-E$4)/(1+$A9)^('Calc - research target (12m)'!$B$16-'Calc - research target (12m)'!$B$13))-'Calc - research target (12m)'!$B$50-'Calc - research target (12m)'!$B$51+'Calc - research target (12m)'!$B$52)/'Calc - research target (12m)'!$B$53)</f>
        <v/>
      </c>
      <c r="F9" s="9">
        <f>IF($A9-F$4&lt;=0.01,"n/a",((SUMPRODUCT('Calc - research target (12m)'!$C$31:$E$31,'Calc - research target (12m)'!$C$35:$E$35,(1+$A9)^(-('Calc - research target (12m)'!$C$19:$E$19-'Calc - research target (12m)'!$B$13)))+'Calc - research target (12m)'!$E$31*(1+F$4)/($A9-F$4)/(1+$A9)^('Calc - research target (12m)'!$B$16-'Calc - research target (12m)'!$B$13))-'Calc - research target (12m)'!$B$50-'Calc - research target (12m)'!$B$51+'Calc - research target (12m)'!$B$52)/'Calc - research target (12m)'!$B$53)</f>
        <v/>
      </c>
    </row>
    <row r="11">
      <c r="A11" s="21" t="inlineStr">
        <is>
          <t>Research target (12m) per share: P/E multiple (down) x stated EPS (across)</t>
        </is>
      </c>
    </row>
    <row r="12">
      <c r="A12" s="21" t="inlineStr">
        <is>
          <t>Multiple \ metric</t>
        </is>
      </c>
      <c r="B12" s="30">
        <f>Valuation!F70*0.9</f>
        <v/>
      </c>
      <c r="C12" s="30">
        <f>Valuation!F70*0.95</f>
        <v/>
      </c>
      <c r="D12" s="30">
        <f>Valuation!F70*1.0</f>
        <v/>
      </c>
      <c r="E12" s="30">
        <f>Valuation!F70*1.05</f>
        <v/>
      </c>
      <c r="F12" s="30">
        <f>Valuation!F70*1.1</f>
        <v/>
      </c>
    </row>
    <row r="13">
      <c r="A13" s="43">
        <f>Valuation!$B$70+(-3)</f>
        <v/>
      </c>
      <c r="B13" s="9">
        <f>((SUMPRODUCT('Calc - research target (12m)'!$F$67:$F$69,'Calc - research target (12m)'!$G$67:$G$69)-'Calc - research target (12m)'!$F$68*'Calc - research target (12m)'!$G$68)+'Calc - research target (12m)'!$G$68*($A13*B$12+'Calc - research target (12m)'!$B$52/'Calc - research target (12m)'!$B$53))/SUM('Calc - research target (12m)'!$G$67:$G$69)</f>
        <v/>
      </c>
      <c r="C13" s="9">
        <f>((SUMPRODUCT('Calc - research target (12m)'!$F$67:$F$69,'Calc - research target (12m)'!$G$67:$G$69)-'Calc - research target (12m)'!$F$68*'Calc - research target (12m)'!$G$68)+'Calc - research target (12m)'!$G$68*($A13*C$12+'Calc - research target (12m)'!$B$52/'Calc - research target (12m)'!$B$53))/SUM('Calc - research target (12m)'!$G$67:$G$69)</f>
        <v/>
      </c>
      <c r="D13" s="9">
        <f>((SUMPRODUCT('Calc - research target (12m)'!$F$67:$F$69,'Calc - research target (12m)'!$G$67:$G$69)-'Calc - research target (12m)'!$F$68*'Calc - research target (12m)'!$G$68)+'Calc - research target (12m)'!$G$68*($A13*D$12+'Calc - research target (12m)'!$B$52/'Calc - research target (12m)'!$B$53))/SUM('Calc - research target (12m)'!$G$67:$G$69)</f>
        <v/>
      </c>
      <c r="E13" s="9">
        <f>((SUMPRODUCT('Calc - research target (12m)'!$F$67:$F$69,'Calc - research target (12m)'!$G$67:$G$69)-'Calc - research target (12m)'!$F$68*'Calc - research target (12m)'!$G$68)+'Calc - research target (12m)'!$G$68*($A13*E$12+'Calc - research target (12m)'!$B$52/'Calc - research target (12m)'!$B$53))/SUM('Calc - research target (12m)'!$G$67:$G$69)</f>
        <v/>
      </c>
      <c r="F13" s="9">
        <f>((SUMPRODUCT('Calc - research target (12m)'!$F$67:$F$69,'Calc - research target (12m)'!$G$67:$G$69)-'Calc - research target (12m)'!$F$68*'Calc - research target (12m)'!$G$68)+'Calc - research target (12m)'!$G$68*($A13*F$12+'Calc - research target (12m)'!$B$52/'Calc - research target (12m)'!$B$53))/SUM('Calc - research target (12m)'!$G$67:$G$69)</f>
        <v/>
      </c>
    </row>
    <row r="14">
      <c r="A14" s="43">
        <f>Valuation!$B$70+(-2)</f>
        <v/>
      </c>
      <c r="B14" s="9">
        <f>((SUMPRODUCT('Calc - research target (12m)'!$F$67:$F$69,'Calc - research target (12m)'!$G$67:$G$69)-'Calc - research target (12m)'!$F$68*'Calc - research target (12m)'!$G$68)+'Calc - research target (12m)'!$G$68*($A14*B$12+'Calc - research target (12m)'!$B$52/'Calc - research target (12m)'!$B$53))/SUM('Calc - research target (12m)'!$G$67:$G$69)</f>
        <v/>
      </c>
      <c r="C14" s="9">
        <f>((SUMPRODUCT('Calc - research target (12m)'!$F$67:$F$69,'Calc - research target (12m)'!$G$67:$G$69)-'Calc - research target (12m)'!$F$68*'Calc - research target (12m)'!$G$68)+'Calc - research target (12m)'!$G$68*($A14*C$12+'Calc - research target (12m)'!$B$52/'Calc - research target (12m)'!$B$53))/SUM('Calc - research target (12m)'!$G$67:$G$69)</f>
        <v/>
      </c>
      <c r="D14" s="9">
        <f>((SUMPRODUCT('Calc - research target (12m)'!$F$67:$F$69,'Calc - research target (12m)'!$G$67:$G$69)-'Calc - research target (12m)'!$F$68*'Calc - research target (12m)'!$G$68)+'Calc - research target (12m)'!$G$68*($A14*D$12+'Calc - research target (12m)'!$B$52/'Calc - research target (12m)'!$B$53))/SUM('Calc - research target (12m)'!$G$67:$G$69)</f>
        <v/>
      </c>
      <c r="E14" s="9">
        <f>((SUMPRODUCT('Calc - research target (12m)'!$F$67:$F$69,'Calc - research target (12m)'!$G$67:$G$69)-'Calc - research target (12m)'!$F$68*'Calc - research target (12m)'!$G$68)+'Calc - research target (12m)'!$G$68*($A14*E$12+'Calc - research target (12m)'!$B$52/'Calc - research target (12m)'!$B$53))/SUM('Calc - research target (12m)'!$G$67:$G$69)</f>
        <v/>
      </c>
      <c r="F14" s="9">
        <f>((SUMPRODUCT('Calc - research target (12m)'!$F$67:$F$69,'Calc - research target (12m)'!$G$67:$G$69)-'Calc - research target (12m)'!$F$68*'Calc - research target (12m)'!$G$68)+'Calc - research target (12m)'!$G$68*($A14*F$12+'Calc - research target (12m)'!$B$52/'Calc - research target (12m)'!$B$53))/SUM('Calc - research target (12m)'!$G$67:$G$69)</f>
        <v/>
      </c>
    </row>
    <row r="15">
      <c r="A15" s="43">
        <f>Valuation!$B$70+(-1)</f>
        <v/>
      </c>
      <c r="B15" s="9">
        <f>((SUMPRODUCT('Calc - research target (12m)'!$F$67:$F$69,'Calc - research target (12m)'!$G$67:$G$69)-'Calc - research target (12m)'!$F$68*'Calc - research target (12m)'!$G$68)+'Calc - research target (12m)'!$G$68*($A15*B$12+'Calc - research target (12m)'!$B$52/'Calc - research target (12m)'!$B$53))/SUM('Calc - research target (12m)'!$G$67:$G$69)</f>
        <v/>
      </c>
      <c r="C15" s="9">
        <f>((SUMPRODUCT('Calc - research target (12m)'!$F$67:$F$69,'Calc - research target (12m)'!$G$67:$G$69)-'Calc - research target (12m)'!$F$68*'Calc - research target (12m)'!$G$68)+'Calc - research target (12m)'!$G$68*($A15*C$12+'Calc - research target (12m)'!$B$52/'Calc - research target (12m)'!$B$53))/SUM('Calc - research target (12m)'!$G$67:$G$69)</f>
        <v/>
      </c>
      <c r="D15" s="9">
        <f>((SUMPRODUCT('Calc - research target (12m)'!$F$67:$F$69,'Calc - research target (12m)'!$G$67:$G$69)-'Calc - research target (12m)'!$F$68*'Calc - research target (12m)'!$G$68)+'Calc - research target (12m)'!$G$68*($A15*D$12+'Calc - research target (12m)'!$B$52/'Calc - research target (12m)'!$B$53))/SUM('Calc - research target (12m)'!$G$67:$G$69)</f>
        <v/>
      </c>
      <c r="E15" s="9">
        <f>((SUMPRODUCT('Calc - research target (12m)'!$F$67:$F$69,'Calc - research target (12m)'!$G$67:$G$69)-'Calc - research target (12m)'!$F$68*'Calc - research target (12m)'!$G$68)+'Calc - research target (12m)'!$G$68*($A15*E$12+'Calc - research target (12m)'!$B$52/'Calc - research target (12m)'!$B$53))/SUM('Calc - research target (12m)'!$G$67:$G$69)</f>
        <v/>
      </c>
      <c r="F15" s="9">
        <f>((SUMPRODUCT('Calc - research target (12m)'!$F$67:$F$69,'Calc - research target (12m)'!$G$67:$G$69)-'Calc - research target (12m)'!$F$68*'Calc - research target (12m)'!$G$68)+'Calc - research target (12m)'!$G$68*($A15*F$12+'Calc - research target (12m)'!$B$52/'Calc - research target (12m)'!$B$53))/SUM('Calc - research target (12m)'!$G$67:$G$69)</f>
        <v/>
      </c>
    </row>
    <row r="16">
      <c r="A16" s="43">
        <f>Valuation!$B$70+(0)</f>
        <v/>
      </c>
      <c r="B16" s="9">
        <f>((SUMPRODUCT('Calc - research target (12m)'!$F$67:$F$69,'Calc - research target (12m)'!$G$67:$G$69)-'Calc - research target (12m)'!$F$68*'Calc - research target (12m)'!$G$68)+'Calc - research target (12m)'!$G$68*($A16*B$12+'Calc - research target (12m)'!$B$52/'Calc - research target (12m)'!$B$53))/SUM('Calc - research target (12m)'!$G$67:$G$69)</f>
        <v/>
      </c>
      <c r="C16" s="9">
        <f>((SUMPRODUCT('Calc - research target (12m)'!$F$67:$F$69,'Calc - research target (12m)'!$G$67:$G$69)-'Calc - research target (12m)'!$F$68*'Calc - research target (12m)'!$G$68)+'Calc - research target (12m)'!$G$68*($A16*C$12+'Calc - research target (12m)'!$B$52/'Calc - research target (12m)'!$B$53))/SUM('Calc - research target (12m)'!$G$67:$G$69)</f>
        <v/>
      </c>
      <c r="D16" s="6">
        <f>((SUMPRODUCT('Calc - research target (12m)'!$F$67:$F$69,'Calc - research target (12m)'!$G$67:$G$69)-'Calc - research target (12m)'!$F$68*'Calc - research target (12m)'!$G$68)+'Calc - research target (12m)'!$G$68*($A16*D$12+'Calc - research target (12m)'!$B$52/'Calc - research target (12m)'!$B$53))/SUM('Calc - research target (12m)'!$G$67:$G$69)</f>
        <v/>
      </c>
      <c r="E16" s="9">
        <f>((SUMPRODUCT('Calc - research target (12m)'!$F$67:$F$69,'Calc - research target (12m)'!$G$67:$G$69)-'Calc - research target (12m)'!$F$68*'Calc - research target (12m)'!$G$68)+'Calc - research target (12m)'!$G$68*($A16*E$12+'Calc - research target (12m)'!$B$52/'Calc - research target (12m)'!$B$53))/SUM('Calc - research target (12m)'!$G$67:$G$69)</f>
        <v/>
      </c>
      <c r="F16" s="9">
        <f>((SUMPRODUCT('Calc - research target (12m)'!$F$67:$F$69,'Calc - research target (12m)'!$G$67:$G$69)-'Calc - research target (12m)'!$F$68*'Calc - research target (12m)'!$G$68)+'Calc - research target (12m)'!$G$68*($A16*F$12+'Calc - research target (12m)'!$B$52/'Calc - research target (12m)'!$B$53))/SUM('Calc - research target (12m)'!$G$67:$G$69)</f>
        <v/>
      </c>
    </row>
    <row r="17">
      <c r="A17" s="43">
        <f>Valuation!$B$70+(1)</f>
        <v/>
      </c>
      <c r="B17" s="9">
        <f>((SUMPRODUCT('Calc - research target (12m)'!$F$67:$F$69,'Calc - research target (12m)'!$G$67:$G$69)-'Calc - research target (12m)'!$F$68*'Calc - research target (12m)'!$G$68)+'Calc - research target (12m)'!$G$68*($A17*B$12+'Calc - research target (12m)'!$B$52/'Calc - research target (12m)'!$B$53))/SUM('Calc - research target (12m)'!$G$67:$G$69)</f>
        <v/>
      </c>
      <c r="C17" s="9">
        <f>((SUMPRODUCT('Calc - research target (12m)'!$F$67:$F$69,'Calc - research target (12m)'!$G$67:$G$69)-'Calc - research target (12m)'!$F$68*'Calc - research target (12m)'!$G$68)+'Calc - research target (12m)'!$G$68*($A17*C$12+'Calc - research target (12m)'!$B$52/'Calc - research target (12m)'!$B$53))/SUM('Calc - research target (12m)'!$G$67:$G$69)</f>
        <v/>
      </c>
      <c r="D17" s="9">
        <f>((SUMPRODUCT('Calc - research target (12m)'!$F$67:$F$69,'Calc - research target (12m)'!$G$67:$G$69)-'Calc - research target (12m)'!$F$68*'Calc - research target (12m)'!$G$68)+'Calc - research target (12m)'!$G$68*($A17*D$12+'Calc - research target (12m)'!$B$52/'Calc - research target (12m)'!$B$53))/SUM('Calc - research target (12m)'!$G$67:$G$69)</f>
        <v/>
      </c>
      <c r="E17" s="9">
        <f>((SUMPRODUCT('Calc - research target (12m)'!$F$67:$F$69,'Calc - research target (12m)'!$G$67:$G$69)-'Calc - research target (12m)'!$F$68*'Calc - research target (12m)'!$G$68)+'Calc - research target (12m)'!$G$68*($A17*E$12+'Calc - research target (12m)'!$B$52/'Calc - research target (12m)'!$B$53))/SUM('Calc - research target (12m)'!$G$67:$G$69)</f>
        <v/>
      </c>
      <c r="F17" s="9">
        <f>((SUMPRODUCT('Calc - research target (12m)'!$F$67:$F$69,'Calc - research target (12m)'!$G$67:$G$69)-'Calc - research target (12m)'!$F$68*'Calc - research target (12m)'!$G$68)+'Calc - research target (12m)'!$G$68*($A17*F$12+'Calc - research target (12m)'!$B$52/'Calc - research target (12m)'!$B$53))/SUM('Calc - research target (12m)'!$G$67:$G$69)</f>
        <v/>
      </c>
    </row>
    <row r="18">
      <c r="A18" s="43">
        <f>Valuation!$B$70+(2)</f>
        <v/>
      </c>
      <c r="B18" s="9">
        <f>((SUMPRODUCT('Calc - research target (12m)'!$F$67:$F$69,'Calc - research target (12m)'!$G$67:$G$69)-'Calc - research target (12m)'!$F$68*'Calc - research target (12m)'!$G$68)+'Calc - research target (12m)'!$G$68*($A18*B$12+'Calc - research target (12m)'!$B$52/'Calc - research target (12m)'!$B$53))/SUM('Calc - research target (12m)'!$G$67:$G$69)</f>
        <v/>
      </c>
      <c r="C18" s="9">
        <f>((SUMPRODUCT('Calc - research target (12m)'!$F$67:$F$69,'Calc - research target (12m)'!$G$67:$G$69)-'Calc - research target (12m)'!$F$68*'Calc - research target (12m)'!$G$68)+'Calc - research target (12m)'!$G$68*($A18*C$12+'Calc - research target (12m)'!$B$52/'Calc - research target (12m)'!$B$53))/SUM('Calc - research target (12m)'!$G$67:$G$69)</f>
        <v/>
      </c>
      <c r="D18" s="9">
        <f>((SUMPRODUCT('Calc - research target (12m)'!$F$67:$F$69,'Calc - research target (12m)'!$G$67:$G$69)-'Calc - research target (12m)'!$F$68*'Calc - research target (12m)'!$G$68)+'Calc - research target (12m)'!$G$68*($A18*D$12+'Calc - research target (12m)'!$B$52/'Calc - research target (12m)'!$B$53))/SUM('Calc - research target (12m)'!$G$67:$G$69)</f>
        <v/>
      </c>
      <c r="E18" s="9">
        <f>((SUMPRODUCT('Calc - research target (12m)'!$F$67:$F$69,'Calc - research target (12m)'!$G$67:$G$69)-'Calc - research target (12m)'!$F$68*'Calc - research target (12m)'!$G$68)+'Calc - research target (12m)'!$G$68*($A18*E$12+'Calc - research target (12m)'!$B$52/'Calc - research target (12m)'!$B$53))/SUM('Calc - research target (12m)'!$G$67:$G$69)</f>
        <v/>
      </c>
      <c r="F18" s="9">
        <f>((SUMPRODUCT('Calc - research target (12m)'!$F$67:$F$69,'Calc - research target (12m)'!$G$67:$G$69)-'Calc - research target (12m)'!$F$68*'Calc - research target (12m)'!$G$68)+'Calc - research target (12m)'!$G$68*($A18*F$12+'Calc - research target (12m)'!$B$52/'Calc - research target (12m)'!$B$53))/SUM('Calc - research target (12m)'!$G$67:$G$69)</f>
        <v/>
      </c>
    </row>
    <row r="19">
      <c r="A19" s="43">
        <f>Valuation!$B$70+(3)</f>
        <v/>
      </c>
      <c r="B19" s="9">
        <f>((SUMPRODUCT('Calc - research target (12m)'!$F$67:$F$69,'Calc - research target (12m)'!$G$67:$G$69)-'Calc - research target (12m)'!$F$68*'Calc - research target (12m)'!$G$68)+'Calc - research target (12m)'!$G$68*($A19*B$12+'Calc - research target (12m)'!$B$52/'Calc - research target (12m)'!$B$53))/SUM('Calc - research target (12m)'!$G$67:$G$69)</f>
        <v/>
      </c>
      <c r="C19" s="9">
        <f>((SUMPRODUCT('Calc - research target (12m)'!$F$67:$F$69,'Calc - research target (12m)'!$G$67:$G$69)-'Calc - research target (12m)'!$F$68*'Calc - research target (12m)'!$G$68)+'Calc - research target (12m)'!$G$68*($A19*C$12+'Calc - research target (12m)'!$B$52/'Calc - research target (12m)'!$B$53))/SUM('Calc - research target (12m)'!$G$67:$G$69)</f>
        <v/>
      </c>
      <c r="D19" s="9">
        <f>((SUMPRODUCT('Calc - research target (12m)'!$F$67:$F$69,'Calc - research target (12m)'!$G$67:$G$69)-'Calc - research target (12m)'!$F$68*'Calc - research target (12m)'!$G$68)+'Calc - research target (12m)'!$G$68*($A19*D$12+'Calc - research target (12m)'!$B$52/'Calc - research target (12m)'!$B$53))/SUM('Calc - research target (12m)'!$G$67:$G$69)</f>
        <v/>
      </c>
      <c r="E19" s="9">
        <f>((SUMPRODUCT('Calc - research target (12m)'!$F$67:$F$69,'Calc - research target (12m)'!$G$67:$G$69)-'Calc - research target (12m)'!$F$68*'Calc - research target (12m)'!$G$68)+'Calc - research target (12m)'!$G$68*($A19*E$12+'Calc - research target (12m)'!$B$52/'Calc - research target (12m)'!$B$53))/SUM('Calc - research target (12m)'!$G$67:$G$69)</f>
        <v/>
      </c>
      <c r="F19" s="9">
        <f>((SUMPRODUCT('Calc - research target (12m)'!$F$67:$F$69,'Calc - research target (12m)'!$G$67:$G$69)-'Calc - research target (12m)'!$F$68*'Calc - research target (12m)'!$G$68)+'Calc - research target (12m)'!$G$68*($A19*F$12+'Calc - research target (12m)'!$B$52/'Calc - research target (12m)'!$B$53))/SUM('Calc - research target (12m)'!$G$67:$G$69)</f>
        <v/>
      </c>
    </row>
    <row r="22">
      <c r="A22" s="21" t="inlineStr">
        <is>
          <t>FY2027E diluted EPS: revenue growth change in every year (down) x EBIT margin change (across)</t>
        </is>
      </c>
    </row>
    <row r="23">
      <c r="A23" s="21" t="inlineStr">
        <is>
          <t>Growth Δ \ margin Δ</t>
        </is>
      </c>
      <c r="B23" s="44" t="n">
        <v>-0.01</v>
      </c>
      <c r="C23" s="44" t="n">
        <v>-0.005</v>
      </c>
      <c r="D23" s="44" t="n">
        <v>0</v>
      </c>
      <c r="E23" s="44" t="n">
        <v>0.005</v>
      </c>
      <c r="F23" s="44" t="n">
        <v>0.01</v>
      </c>
    </row>
    <row r="24">
      <c r="A24" s="44" t="n">
        <v>-0.02</v>
      </c>
      <c r="B24" s="29">
        <f>(Valuation!$B$50*(1+Model!E48+$A24)*(1+Model!F48+$A24)*(Model!F49+B$23)+Model!F20)*(1-Model!F50)/Model!F27</f>
        <v/>
      </c>
      <c r="C24" s="29">
        <f>(Valuation!$B$50*(1+Model!E48+$A24)*(1+Model!F48+$A24)*(Model!F49+C$23)+Model!F20)*(1-Model!F50)/Model!F27</f>
        <v/>
      </c>
      <c r="D24" s="29">
        <f>(Valuation!$B$50*(1+Model!E48+$A24)*(1+Model!F48+$A24)*(Model!F49+D$23)+Model!F20)*(1-Model!F50)/Model!F27</f>
        <v/>
      </c>
      <c r="E24" s="29">
        <f>(Valuation!$B$50*(1+Model!E48+$A24)*(1+Model!F48+$A24)*(Model!F49+E$23)+Model!F20)*(1-Model!F50)/Model!F27</f>
        <v/>
      </c>
      <c r="F24" s="29">
        <f>(Valuation!$B$50*(1+Model!E48+$A24)*(1+Model!F48+$A24)*(Model!F49+F$23)+Model!F20)*(1-Model!F50)/Model!F27</f>
        <v/>
      </c>
    </row>
    <row r="25">
      <c r="A25" s="44" t="n">
        <v>-0.01</v>
      </c>
      <c r="B25" s="29">
        <f>(Valuation!$B$50*(1+Model!E48+$A25)*(1+Model!F48+$A25)*(Model!F49+B$23)+Model!F20)*(1-Model!F50)/Model!F27</f>
        <v/>
      </c>
      <c r="C25" s="29">
        <f>(Valuation!$B$50*(1+Model!E48+$A25)*(1+Model!F48+$A25)*(Model!F49+C$23)+Model!F20)*(1-Model!F50)/Model!F27</f>
        <v/>
      </c>
      <c r="D25" s="29">
        <f>(Valuation!$B$50*(1+Model!E48+$A25)*(1+Model!F48+$A25)*(Model!F49+D$23)+Model!F20)*(1-Model!F50)/Model!F27</f>
        <v/>
      </c>
      <c r="E25" s="29">
        <f>(Valuation!$B$50*(1+Model!E48+$A25)*(1+Model!F48+$A25)*(Model!F49+E$23)+Model!F20)*(1-Model!F50)/Model!F27</f>
        <v/>
      </c>
      <c r="F25" s="29">
        <f>(Valuation!$B$50*(1+Model!E48+$A25)*(1+Model!F48+$A25)*(Model!F49+F$23)+Model!F20)*(1-Model!F50)/Model!F27</f>
        <v/>
      </c>
    </row>
    <row r="26">
      <c r="A26" s="44" t="n">
        <v>0</v>
      </c>
      <c r="B26" s="29">
        <f>(Valuation!$B$50*(1+Model!E48+$A26)*(1+Model!F48+$A26)*(Model!F49+B$23)+Model!F20)*(1-Model!F50)/Model!F27</f>
        <v/>
      </c>
      <c r="C26" s="29">
        <f>(Valuation!$B$50*(1+Model!E48+$A26)*(1+Model!F48+$A26)*(Model!F49+C$23)+Model!F20)*(1-Model!F50)/Model!F27</f>
        <v/>
      </c>
      <c r="D26" s="30">
        <f>(Valuation!$B$50*(1+Model!E48+$A26)*(1+Model!F48+$A26)*(Model!F49+D$23)+Model!F20)*(1-Model!F50)/Model!F27</f>
        <v/>
      </c>
      <c r="E26" s="29">
        <f>(Valuation!$B$50*(1+Model!E48+$A26)*(1+Model!F48+$A26)*(Model!F49+E$23)+Model!F20)*(1-Model!F50)/Model!F27</f>
        <v/>
      </c>
      <c r="F26" s="29">
        <f>(Valuation!$B$50*(1+Model!E48+$A26)*(1+Model!F48+$A26)*(Model!F49+F$23)+Model!F20)*(1-Model!F50)/Model!F27</f>
        <v/>
      </c>
    </row>
    <row r="27">
      <c r="A27" s="44" t="n">
        <v>0.01</v>
      </c>
      <c r="B27" s="29">
        <f>(Valuation!$B$50*(1+Model!E48+$A27)*(1+Model!F48+$A27)*(Model!F49+B$23)+Model!F20)*(1-Model!F50)/Model!F27</f>
        <v/>
      </c>
      <c r="C27" s="29">
        <f>(Valuation!$B$50*(1+Model!E48+$A27)*(1+Model!F48+$A27)*(Model!F49+C$23)+Model!F20)*(1-Model!F50)/Model!F27</f>
        <v/>
      </c>
      <c r="D27" s="29">
        <f>(Valuation!$B$50*(1+Model!E48+$A27)*(1+Model!F48+$A27)*(Model!F49+D$23)+Model!F20)*(1-Model!F50)/Model!F27</f>
        <v/>
      </c>
      <c r="E27" s="29">
        <f>(Valuation!$B$50*(1+Model!E48+$A27)*(1+Model!F48+$A27)*(Model!F49+E$23)+Model!F20)*(1-Model!F50)/Model!F27</f>
        <v/>
      </c>
      <c r="F27" s="29">
        <f>(Valuation!$B$50*(1+Model!E48+$A27)*(1+Model!F48+$A27)*(Model!F49+F$23)+Model!F20)*(1-Model!F50)/Model!F27</f>
        <v/>
      </c>
    </row>
    <row r="28">
      <c r="A28" s="44" t="n">
        <v>0.02</v>
      </c>
      <c r="B28" s="29">
        <f>(Valuation!$B$50*(1+Model!E48+$A28)*(1+Model!F48+$A28)*(Model!F49+B$23)+Model!F20)*(1-Model!F50)/Model!F27</f>
        <v/>
      </c>
      <c r="C28" s="29">
        <f>(Valuation!$B$50*(1+Model!E48+$A28)*(1+Model!F48+$A28)*(Model!F49+C$23)+Model!F20)*(1-Model!F50)/Model!F27</f>
        <v/>
      </c>
      <c r="D28" s="29">
        <f>(Valuation!$B$50*(1+Model!E48+$A28)*(1+Model!F48+$A28)*(Model!F49+D$23)+Model!F20)*(1-Model!F50)/Model!F27</f>
        <v/>
      </c>
      <c r="E28" s="29">
        <f>(Valuation!$B$50*(1+Model!E48+$A28)*(1+Model!F48+$A28)*(Model!F49+E$23)+Model!F20)*(1-Model!F50)/Model!F27</f>
        <v/>
      </c>
      <c r="F28" s="29">
        <f>(Valuation!$B$50*(1+Model!E48+$A28)*(1+Model!F48+$A28)*(Model!F49+F$23)+Model!F20)*(1-Model!F50)/Model!F27</f>
        <v/>
      </c>
    </row>
    <row r="30">
      <c r="A30" s="2" t="inlineStr">
        <is>
          <t>Net interest and the share count are held at the base case in table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0"/>
  <sheetViews>
    <sheetView showGridLines="0" workbookViewId="0">
      <selection activeCell="A1" sqref="A1"/>
    </sheetView>
  </sheetViews>
  <sheetFormatPr baseColWidth="8" defaultRowHeight="15"/>
  <cols>
    <col width="26" customWidth="1" min="1" max="1"/>
    <col width="13" customWidth="1" min="2" max="2"/>
    <col width="13" customWidth="1" min="3" max="3"/>
    <col width="60"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 t="inlineStr">
        <is>
          <t>BKNG: 12-month distribution (mix of lognormals around each scenario value)</t>
        </is>
      </c>
    </row>
    <row r="3">
      <c r="A3" s="3" t="inlineStr">
        <is>
          <t>Scenario</t>
        </is>
      </c>
      <c r="B3" s="3" t="inlineStr">
        <is>
          <t>Probability</t>
        </is>
      </c>
      <c r="C3" s="3" t="inlineStr">
        <is>
          <t>Value at target date</t>
        </is>
      </c>
      <c r="D3" s="3" t="inlineStr">
        <is>
          <t>Story</t>
        </is>
      </c>
    </row>
    <row r="4">
      <c r="A4" t="inlineStr">
        <is>
          <t>bear</t>
        </is>
      </c>
      <c r="B4" s="12">
        <f>Valuation!B83</f>
        <v/>
      </c>
      <c r="C4" s="4">
        <f>'Calc - bear'!$F$70</f>
        <v/>
      </c>
      <c r="D4">
        <f>Valuation!J83</f>
        <v/>
      </c>
    </row>
    <row r="5">
      <c r="A5" t="inlineStr">
        <is>
          <t>base</t>
        </is>
      </c>
      <c r="B5" s="12">
        <f>Valuation!B84</f>
        <v/>
      </c>
      <c r="C5" s="4">
        <f>'Calc - base'!$F$70</f>
        <v/>
      </c>
      <c r="D5">
        <f>Valuation!J84</f>
        <v/>
      </c>
    </row>
    <row r="6">
      <c r="A6" t="inlineStr">
        <is>
          <t>bull</t>
        </is>
      </c>
      <c r="B6" s="12">
        <f>Valuation!B85</f>
        <v/>
      </c>
      <c r="C6" s="4">
        <f>'Calc - bull'!$F$70</f>
        <v/>
      </c>
      <c r="D6">
        <f>Valuation!J85</f>
        <v/>
      </c>
    </row>
    <row r="8">
      <c r="A8" t="inlineStr">
        <is>
          <t>Probabilities sum to</t>
        </is>
      </c>
      <c r="B8" s="20">
        <f>SUM(B4:B6)</f>
        <v/>
      </c>
    </row>
    <row r="9">
      <c r="A9" t="inlineStr">
        <is>
          <t>Spread within each scenario</t>
        </is>
      </c>
      <c r="B9" s="12">
        <f>Valuation!$B$66</f>
        <v/>
      </c>
    </row>
    <row r="10">
      <c r="A10" t="inlineStr">
        <is>
          <t>Probability-weighted mean</t>
        </is>
      </c>
      <c r="B10" s="9">
        <f>($B$4*$C$4+$B$5*$C$5+$B$6*$C$6)*EXP($B$9^2/2)</f>
        <v/>
      </c>
    </row>
    <row r="12">
      <c r="A12" s="3" t="inlineStr">
        <is>
          <t>Quantile</t>
        </is>
      </c>
      <c r="B12" s="3" t="inlineStr">
        <is>
          <t>Price</t>
        </is>
      </c>
    </row>
    <row r="13">
      <c r="A13" t="inlineStr">
        <is>
          <t>Median (model target)</t>
        </is>
      </c>
      <c r="B13" s="9">
        <f>SQRT(A60*B60)</f>
        <v/>
      </c>
    </row>
    <row r="14">
      <c r="A14" t="inlineStr">
        <is>
          <t>10th percentile</t>
        </is>
      </c>
      <c r="B14" s="9">
        <f>SQRT(D60*E60)</f>
        <v/>
      </c>
    </row>
    <row r="15">
      <c r="A15" t="inlineStr">
        <is>
          <t>25th percentile</t>
        </is>
      </c>
      <c r="B15" s="9">
        <f>SQRT(G60*H60)</f>
        <v/>
      </c>
    </row>
    <row r="16">
      <c r="A16" t="inlineStr">
        <is>
          <t>75th percentile</t>
        </is>
      </c>
      <c r="B16" s="9">
        <f>SQRT(J60*K60)</f>
        <v/>
      </c>
    </row>
    <row r="17">
      <c r="A17" t="inlineStr">
        <is>
          <t>90th percentile</t>
        </is>
      </c>
      <c r="B17" s="9">
        <f>SQRT(M60*N60)</f>
        <v/>
      </c>
    </row>
    <row r="19">
      <c r="A19" s="2" t="inlineStr">
        <is>
          <t>Each quantile solved by bisection (block: low, high, probability above the midpoint)</t>
        </is>
      </c>
    </row>
    <row r="20">
      <c r="A20" s="3" t="inlineStr">
        <is>
          <t>Median (model target): low</t>
        </is>
      </c>
      <c r="B20" s="3" t="inlineStr">
        <is>
          <t>high</t>
        </is>
      </c>
      <c r="C20" s="3" t="inlineStr">
        <is>
          <t>P(above mid)</t>
        </is>
      </c>
      <c r="D20" s="3" t="inlineStr">
        <is>
          <t>10th percentile: low</t>
        </is>
      </c>
      <c r="E20" s="3" t="inlineStr">
        <is>
          <t>high</t>
        </is>
      </c>
      <c r="F20" s="3" t="inlineStr">
        <is>
          <t>P(above mid)</t>
        </is>
      </c>
      <c r="G20" s="3" t="inlineStr">
        <is>
          <t>25th percentile: low</t>
        </is>
      </c>
      <c r="H20" s="3" t="inlineStr">
        <is>
          <t>high</t>
        </is>
      </c>
      <c r="I20" s="3" t="inlineStr">
        <is>
          <t>P(above mid)</t>
        </is>
      </c>
      <c r="J20" s="3" t="inlineStr">
        <is>
          <t>75th percentile: low</t>
        </is>
      </c>
      <c r="K20" s="3" t="inlineStr">
        <is>
          <t>high</t>
        </is>
      </c>
      <c r="L20" s="3" t="inlineStr">
        <is>
          <t>P(above mid)</t>
        </is>
      </c>
      <c r="M20" s="3" t="inlineStr">
        <is>
          <t>90th percentile: low</t>
        </is>
      </c>
      <c r="N20" s="3" t="inlineStr">
        <is>
          <t>high</t>
        </is>
      </c>
      <c r="O20" s="3" t="inlineStr">
        <is>
          <t>P(above mid)</t>
        </is>
      </c>
    </row>
    <row r="21">
      <c r="A21" s="9">
        <f>MIN($C$4,$C$5,$C$6)*0.2</f>
        <v/>
      </c>
      <c r="B21" s="9">
        <f>MAX($C$4,$C$5,$C$6)*4</f>
        <v/>
      </c>
      <c r="C21" s="45">
        <f>SUMPRODUCT($B$4:$B$6,1-NORMSDIST((LN(SQRT(A21*B21))-LN($C$4:$C$6))/$B$9))</f>
        <v/>
      </c>
      <c r="D21" s="9">
        <f>MIN($C$4,$C$5,$C$6)*0.2</f>
        <v/>
      </c>
      <c r="E21" s="9">
        <f>MAX($C$4,$C$5,$C$6)*4</f>
        <v/>
      </c>
      <c r="F21" s="45">
        <f>SUMPRODUCT($B$4:$B$6,1-NORMSDIST((LN(SQRT(D21*E21))-LN($C$4:$C$6))/$B$9))</f>
        <v/>
      </c>
      <c r="G21" s="9">
        <f>MIN($C$4,$C$5,$C$6)*0.2</f>
        <v/>
      </c>
      <c r="H21" s="9">
        <f>MAX($C$4,$C$5,$C$6)*4</f>
        <v/>
      </c>
      <c r="I21" s="45">
        <f>SUMPRODUCT($B$4:$B$6,1-NORMSDIST((LN(SQRT(G21*H21))-LN($C$4:$C$6))/$B$9))</f>
        <v/>
      </c>
      <c r="J21" s="9">
        <f>MIN($C$4,$C$5,$C$6)*0.2</f>
        <v/>
      </c>
      <c r="K21" s="9">
        <f>MAX($C$4,$C$5,$C$6)*4</f>
        <v/>
      </c>
      <c r="L21" s="45">
        <f>SUMPRODUCT($B$4:$B$6,1-NORMSDIST((LN(SQRT(J21*K21))-LN($C$4:$C$6))/$B$9))</f>
        <v/>
      </c>
      <c r="M21" s="9">
        <f>MIN($C$4,$C$5,$C$6)*0.2</f>
        <v/>
      </c>
      <c r="N21" s="9">
        <f>MAX($C$4,$C$5,$C$6)*4</f>
        <v/>
      </c>
      <c r="O21" s="45">
        <f>SUMPRODUCT($B$4:$B$6,1-NORMSDIST((LN(SQRT(M21*N21))-LN($C$4:$C$6))/$B$9))</f>
        <v/>
      </c>
    </row>
    <row r="22">
      <c r="A22" s="9">
        <f>IF(C21&gt;0.5,SQRT(A21*B21),A21)</f>
        <v/>
      </c>
      <c r="B22" s="9">
        <f>IF(C21&gt;0.5,B21,SQRT(A21*B21))</f>
        <v/>
      </c>
      <c r="C22" s="45">
        <f>SUMPRODUCT($B$4:$B$6,1-NORMSDIST((LN(SQRT(A22*B22))-LN($C$4:$C$6))/$B$9))</f>
        <v/>
      </c>
      <c r="D22" s="9">
        <f>IF(F21&gt;0.9,SQRT(D21*E21),D21)</f>
        <v/>
      </c>
      <c r="E22" s="9">
        <f>IF(F21&gt;0.9,E21,SQRT(D21*E21))</f>
        <v/>
      </c>
      <c r="F22" s="45">
        <f>SUMPRODUCT($B$4:$B$6,1-NORMSDIST((LN(SQRT(D22*E22))-LN($C$4:$C$6))/$B$9))</f>
        <v/>
      </c>
      <c r="G22" s="9">
        <f>IF(I21&gt;0.75,SQRT(G21*H21),G21)</f>
        <v/>
      </c>
      <c r="H22" s="9">
        <f>IF(I21&gt;0.75,H21,SQRT(G21*H21))</f>
        <v/>
      </c>
      <c r="I22" s="45">
        <f>SUMPRODUCT($B$4:$B$6,1-NORMSDIST((LN(SQRT(G22*H22))-LN($C$4:$C$6))/$B$9))</f>
        <v/>
      </c>
      <c r="J22" s="9">
        <f>IF(L21&gt;0.25,SQRT(J21*K21),J21)</f>
        <v/>
      </c>
      <c r="K22" s="9">
        <f>IF(L21&gt;0.25,K21,SQRT(J21*K21))</f>
        <v/>
      </c>
      <c r="L22" s="45">
        <f>SUMPRODUCT($B$4:$B$6,1-NORMSDIST((LN(SQRT(J22*K22))-LN($C$4:$C$6))/$B$9))</f>
        <v/>
      </c>
      <c r="M22" s="9">
        <f>IF(O21&gt;0.09999999999999998,SQRT(M21*N21),M21)</f>
        <v/>
      </c>
      <c r="N22" s="9">
        <f>IF(O21&gt;0.09999999999999998,N21,SQRT(M21*N21))</f>
        <v/>
      </c>
      <c r="O22" s="45">
        <f>SUMPRODUCT($B$4:$B$6,1-NORMSDIST((LN(SQRT(M22*N22))-LN($C$4:$C$6))/$B$9))</f>
        <v/>
      </c>
    </row>
    <row r="23">
      <c r="A23" s="9">
        <f>IF(C22&gt;0.5,SQRT(A22*B22),A22)</f>
        <v/>
      </c>
      <c r="B23" s="9">
        <f>IF(C22&gt;0.5,B22,SQRT(A22*B22))</f>
        <v/>
      </c>
      <c r="C23" s="45">
        <f>SUMPRODUCT($B$4:$B$6,1-NORMSDIST((LN(SQRT(A23*B23))-LN($C$4:$C$6))/$B$9))</f>
        <v/>
      </c>
      <c r="D23" s="9">
        <f>IF(F22&gt;0.9,SQRT(D22*E22),D22)</f>
        <v/>
      </c>
      <c r="E23" s="9">
        <f>IF(F22&gt;0.9,E22,SQRT(D22*E22))</f>
        <v/>
      </c>
      <c r="F23" s="45">
        <f>SUMPRODUCT($B$4:$B$6,1-NORMSDIST((LN(SQRT(D23*E23))-LN($C$4:$C$6))/$B$9))</f>
        <v/>
      </c>
      <c r="G23" s="9">
        <f>IF(I22&gt;0.75,SQRT(G22*H22),G22)</f>
        <v/>
      </c>
      <c r="H23" s="9">
        <f>IF(I22&gt;0.75,H22,SQRT(G22*H22))</f>
        <v/>
      </c>
      <c r="I23" s="45">
        <f>SUMPRODUCT($B$4:$B$6,1-NORMSDIST((LN(SQRT(G23*H23))-LN($C$4:$C$6))/$B$9))</f>
        <v/>
      </c>
      <c r="J23" s="9">
        <f>IF(L22&gt;0.25,SQRT(J22*K22),J22)</f>
        <v/>
      </c>
      <c r="K23" s="9">
        <f>IF(L22&gt;0.25,K22,SQRT(J22*K22))</f>
        <v/>
      </c>
      <c r="L23" s="45">
        <f>SUMPRODUCT($B$4:$B$6,1-NORMSDIST((LN(SQRT(J23*K23))-LN($C$4:$C$6))/$B$9))</f>
        <v/>
      </c>
      <c r="M23" s="9">
        <f>IF(O22&gt;0.09999999999999998,SQRT(M22*N22),M22)</f>
        <v/>
      </c>
      <c r="N23" s="9">
        <f>IF(O22&gt;0.09999999999999998,N22,SQRT(M22*N22))</f>
        <v/>
      </c>
      <c r="O23" s="45">
        <f>SUMPRODUCT($B$4:$B$6,1-NORMSDIST((LN(SQRT(M23*N23))-LN($C$4:$C$6))/$B$9))</f>
        <v/>
      </c>
    </row>
    <row r="24">
      <c r="A24" s="9">
        <f>IF(C23&gt;0.5,SQRT(A23*B23),A23)</f>
        <v/>
      </c>
      <c r="B24" s="9">
        <f>IF(C23&gt;0.5,B23,SQRT(A23*B23))</f>
        <v/>
      </c>
      <c r="C24" s="45">
        <f>SUMPRODUCT($B$4:$B$6,1-NORMSDIST((LN(SQRT(A24*B24))-LN($C$4:$C$6))/$B$9))</f>
        <v/>
      </c>
      <c r="D24" s="9">
        <f>IF(F23&gt;0.9,SQRT(D23*E23),D23)</f>
        <v/>
      </c>
      <c r="E24" s="9">
        <f>IF(F23&gt;0.9,E23,SQRT(D23*E23))</f>
        <v/>
      </c>
      <c r="F24" s="45">
        <f>SUMPRODUCT($B$4:$B$6,1-NORMSDIST((LN(SQRT(D24*E24))-LN($C$4:$C$6))/$B$9))</f>
        <v/>
      </c>
      <c r="G24" s="9">
        <f>IF(I23&gt;0.75,SQRT(G23*H23),G23)</f>
        <v/>
      </c>
      <c r="H24" s="9">
        <f>IF(I23&gt;0.75,H23,SQRT(G23*H23))</f>
        <v/>
      </c>
      <c r="I24" s="45">
        <f>SUMPRODUCT($B$4:$B$6,1-NORMSDIST((LN(SQRT(G24*H24))-LN($C$4:$C$6))/$B$9))</f>
        <v/>
      </c>
      <c r="J24" s="9">
        <f>IF(L23&gt;0.25,SQRT(J23*K23),J23)</f>
        <v/>
      </c>
      <c r="K24" s="9">
        <f>IF(L23&gt;0.25,K23,SQRT(J23*K23))</f>
        <v/>
      </c>
      <c r="L24" s="45">
        <f>SUMPRODUCT($B$4:$B$6,1-NORMSDIST((LN(SQRT(J24*K24))-LN($C$4:$C$6))/$B$9))</f>
        <v/>
      </c>
      <c r="M24" s="9">
        <f>IF(O23&gt;0.09999999999999998,SQRT(M23*N23),M23)</f>
        <v/>
      </c>
      <c r="N24" s="9">
        <f>IF(O23&gt;0.09999999999999998,N23,SQRT(M23*N23))</f>
        <v/>
      </c>
      <c r="O24" s="45">
        <f>SUMPRODUCT($B$4:$B$6,1-NORMSDIST((LN(SQRT(M24*N24))-LN($C$4:$C$6))/$B$9))</f>
        <v/>
      </c>
    </row>
    <row r="25">
      <c r="A25" s="9">
        <f>IF(C24&gt;0.5,SQRT(A24*B24),A24)</f>
        <v/>
      </c>
      <c r="B25" s="9">
        <f>IF(C24&gt;0.5,B24,SQRT(A24*B24))</f>
        <v/>
      </c>
      <c r="C25" s="45">
        <f>SUMPRODUCT($B$4:$B$6,1-NORMSDIST((LN(SQRT(A25*B25))-LN($C$4:$C$6))/$B$9))</f>
        <v/>
      </c>
      <c r="D25" s="9">
        <f>IF(F24&gt;0.9,SQRT(D24*E24),D24)</f>
        <v/>
      </c>
      <c r="E25" s="9">
        <f>IF(F24&gt;0.9,E24,SQRT(D24*E24))</f>
        <v/>
      </c>
      <c r="F25" s="45">
        <f>SUMPRODUCT($B$4:$B$6,1-NORMSDIST((LN(SQRT(D25*E25))-LN($C$4:$C$6))/$B$9))</f>
        <v/>
      </c>
      <c r="G25" s="9">
        <f>IF(I24&gt;0.75,SQRT(G24*H24),G24)</f>
        <v/>
      </c>
      <c r="H25" s="9">
        <f>IF(I24&gt;0.75,H24,SQRT(G24*H24))</f>
        <v/>
      </c>
      <c r="I25" s="45">
        <f>SUMPRODUCT($B$4:$B$6,1-NORMSDIST((LN(SQRT(G25*H25))-LN($C$4:$C$6))/$B$9))</f>
        <v/>
      </c>
      <c r="J25" s="9">
        <f>IF(L24&gt;0.25,SQRT(J24*K24),J24)</f>
        <v/>
      </c>
      <c r="K25" s="9">
        <f>IF(L24&gt;0.25,K24,SQRT(J24*K24))</f>
        <v/>
      </c>
      <c r="L25" s="45">
        <f>SUMPRODUCT($B$4:$B$6,1-NORMSDIST((LN(SQRT(J25*K25))-LN($C$4:$C$6))/$B$9))</f>
        <v/>
      </c>
      <c r="M25" s="9">
        <f>IF(O24&gt;0.09999999999999998,SQRT(M24*N24),M24)</f>
        <v/>
      </c>
      <c r="N25" s="9">
        <f>IF(O24&gt;0.09999999999999998,N24,SQRT(M24*N24))</f>
        <v/>
      </c>
      <c r="O25" s="45">
        <f>SUMPRODUCT($B$4:$B$6,1-NORMSDIST((LN(SQRT(M25*N25))-LN($C$4:$C$6))/$B$9))</f>
        <v/>
      </c>
    </row>
    <row r="26">
      <c r="A26" s="9">
        <f>IF(C25&gt;0.5,SQRT(A25*B25),A25)</f>
        <v/>
      </c>
      <c r="B26" s="9">
        <f>IF(C25&gt;0.5,B25,SQRT(A25*B25))</f>
        <v/>
      </c>
      <c r="C26" s="45">
        <f>SUMPRODUCT($B$4:$B$6,1-NORMSDIST((LN(SQRT(A26*B26))-LN($C$4:$C$6))/$B$9))</f>
        <v/>
      </c>
      <c r="D26" s="9">
        <f>IF(F25&gt;0.9,SQRT(D25*E25),D25)</f>
        <v/>
      </c>
      <c r="E26" s="9">
        <f>IF(F25&gt;0.9,E25,SQRT(D25*E25))</f>
        <v/>
      </c>
      <c r="F26" s="45">
        <f>SUMPRODUCT($B$4:$B$6,1-NORMSDIST((LN(SQRT(D26*E26))-LN($C$4:$C$6))/$B$9))</f>
        <v/>
      </c>
      <c r="G26" s="9">
        <f>IF(I25&gt;0.75,SQRT(G25*H25),G25)</f>
        <v/>
      </c>
      <c r="H26" s="9">
        <f>IF(I25&gt;0.75,H25,SQRT(G25*H25))</f>
        <v/>
      </c>
      <c r="I26" s="45">
        <f>SUMPRODUCT($B$4:$B$6,1-NORMSDIST((LN(SQRT(G26*H26))-LN($C$4:$C$6))/$B$9))</f>
        <v/>
      </c>
      <c r="J26" s="9">
        <f>IF(L25&gt;0.25,SQRT(J25*K25),J25)</f>
        <v/>
      </c>
      <c r="K26" s="9">
        <f>IF(L25&gt;0.25,K25,SQRT(J25*K25))</f>
        <v/>
      </c>
      <c r="L26" s="45">
        <f>SUMPRODUCT($B$4:$B$6,1-NORMSDIST((LN(SQRT(J26*K26))-LN($C$4:$C$6))/$B$9))</f>
        <v/>
      </c>
      <c r="M26" s="9">
        <f>IF(O25&gt;0.09999999999999998,SQRT(M25*N25),M25)</f>
        <v/>
      </c>
      <c r="N26" s="9">
        <f>IF(O25&gt;0.09999999999999998,N25,SQRT(M25*N25))</f>
        <v/>
      </c>
      <c r="O26" s="45">
        <f>SUMPRODUCT($B$4:$B$6,1-NORMSDIST((LN(SQRT(M26*N26))-LN($C$4:$C$6))/$B$9))</f>
        <v/>
      </c>
    </row>
    <row r="27">
      <c r="A27" s="9">
        <f>IF(C26&gt;0.5,SQRT(A26*B26),A26)</f>
        <v/>
      </c>
      <c r="B27" s="9">
        <f>IF(C26&gt;0.5,B26,SQRT(A26*B26))</f>
        <v/>
      </c>
      <c r="C27" s="45">
        <f>SUMPRODUCT($B$4:$B$6,1-NORMSDIST((LN(SQRT(A27*B27))-LN($C$4:$C$6))/$B$9))</f>
        <v/>
      </c>
      <c r="D27" s="9">
        <f>IF(F26&gt;0.9,SQRT(D26*E26),D26)</f>
        <v/>
      </c>
      <c r="E27" s="9">
        <f>IF(F26&gt;0.9,E26,SQRT(D26*E26))</f>
        <v/>
      </c>
      <c r="F27" s="45">
        <f>SUMPRODUCT($B$4:$B$6,1-NORMSDIST((LN(SQRT(D27*E27))-LN($C$4:$C$6))/$B$9))</f>
        <v/>
      </c>
      <c r="G27" s="9">
        <f>IF(I26&gt;0.75,SQRT(G26*H26),G26)</f>
        <v/>
      </c>
      <c r="H27" s="9">
        <f>IF(I26&gt;0.75,H26,SQRT(G26*H26))</f>
        <v/>
      </c>
      <c r="I27" s="45">
        <f>SUMPRODUCT($B$4:$B$6,1-NORMSDIST((LN(SQRT(G27*H27))-LN($C$4:$C$6))/$B$9))</f>
        <v/>
      </c>
      <c r="J27" s="9">
        <f>IF(L26&gt;0.25,SQRT(J26*K26),J26)</f>
        <v/>
      </c>
      <c r="K27" s="9">
        <f>IF(L26&gt;0.25,K26,SQRT(J26*K26))</f>
        <v/>
      </c>
      <c r="L27" s="45">
        <f>SUMPRODUCT($B$4:$B$6,1-NORMSDIST((LN(SQRT(J27*K27))-LN($C$4:$C$6))/$B$9))</f>
        <v/>
      </c>
      <c r="M27" s="9">
        <f>IF(O26&gt;0.09999999999999998,SQRT(M26*N26),M26)</f>
        <v/>
      </c>
      <c r="N27" s="9">
        <f>IF(O26&gt;0.09999999999999998,N26,SQRT(M26*N26))</f>
        <v/>
      </c>
      <c r="O27" s="45">
        <f>SUMPRODUCT($B$4:$B$6,1-NORMSDIST((LN(SQRT(M27*N27))-LN($C$4:$C$6))/$B$9))</f>
        <v/>
      </c>
    </row>
    <row r="28">
      <c r="A28" s="9">
        <f>IF(C27&gt;0.5,SQRT(A27*B27),A27)</f>
        <v/>
      </c>
      <c r="B28" s="9">
        <f>IF(C27&gt;0.5,B27,SQRT(A27*B27))</f>
        <v/>
      </c>
      <c r="C28" s="45">
        <f>SUMPRODUCT($B$4:$B$6,1-NORMSDIST((LN(SQRT(A28*B28))-LN($C$4:$C$6))/$B$9))</f>
        <v/>
      </c>
      <c r="D28" s="9">
        <f>IF(F27&gt;0.9,SQRT(D27*E27),D27)</f>
        <v/>
      </c>
      <c r="E28" s="9">
        <f>IF(F27&gt;0.9,E27,SQRT(D27*E27))</f>
        <v/>
      </c>
      <c r="F28" s="45">
        <f>SUMPRODUCT($B$4:$B$6,1-NORMSDIST((LN(SQRT(D28*E28))-LN($C$4:$C$6))/$B$9))</f>
        <v/>
      </c>
      <c r="G28" s="9">
        <f>IF(I27&gt;0.75,SQRT(G27*H27),G27)</f>
        <v/>
      </c>
      <c r="H28" s="9">
        <f>IF(I27&gt;0.75,H27,SQRT(G27*H27))</f>
        <v/>
      </c>
      <c r="I28" s="45">
        <f>SUMPRODUCT($B$4:$B$6,1-NORMSDIST((LN(SQRT(G28*H28))-LN($C$4:$C$6))/$B$9))</f>
        <v/>
      </c>
      <c r="J28" s="9">
        <f>IF(L27&gt;0.25,SQRT(J27*K27),J27)</f>
        <v/>
      </c>
      <c r="K28" s="9">
        <f>IF(L27&gt;0.25,K27,SQRT(J27*K27))</f>
        <v/>
      </c>
      <c r="L28" s="45">
        <f>SUMPRODUCT($B$4:$B$6,1-NORMSDIST((LN(SQRT(J28*K28))-LN($C$4:$C$6))/$B$9))</f>
        <v/>
      </c>
      <c r="M28" s="9">
        <f>IF(O27&gt;0.09999999999999998,SQRT(M27*N27),M27)</f>
        <v/>
      </c>
      <c r="N28" s="9">
        <f>IF(O27&gt;0.09999999999999998,N27,SQRT(M27*N27))</f>
        <v/>
      </c>
      <c r="O28" s="45">
        <f>SUMPRODUCT($B$4:$B$6,1-NORMSDIST((LN(SQRT(M28*N28))-LN($C$4:$C$6))/$B$9))</f>
        <v/>
      </c>
    </row>
    <row r="29">
      <c r="A29" s="9">
        <f>IF(C28&gt;0.5,SQRT(A28*B28),A28)</f>
        <v/>
      </c>
      <c r="B29" s="9">
        <f>IF(C28&gt;0.5,B28,SQRT(A28*B28))</f>
        <v/>
      </c>
      <c r="C29" s="45">
        <f>SUMPRODUCT($B$4:$B$6,1-NORMSDIST((LN(SQRT(A29*B29))-LN($C$4:$C$6))/$B$9))</f>
        <v/>
      </c>
      <c r="D29" s="9">
        <f>IF(F28&gt;0.9,SQRT(D28*E28),D28)</f>
        <v/>
      </c>
      <c r="E29" s="9">
        <f>IF(F28&gt;0.9,E28,SQRT(D28*E28))</f>
        <v/>
      </c>
      <c r="F29" s="45">
        <f>SUMPRODUCT($B$4:$B$6,1-NORMSDIST((LN(SQRT(D29*E29))-LN($C$4:$C$6))/$B$9))</f>
        <v/>
      </c>
      <c r="G29" s="9">
        <f>IF(I28&gt;0.75,SQRT(G28*H28),G28)</f>
        <v/>
      </c>
      <c r="H29" s="9">
        <f>IF(I28&gt;0.75,H28,SQRT(G28*H28))</f>
        <v/>
      </c>
      <c r="I29" s="45">
        <f>SUMPRODUCT($B$4:$B$6,1-NORMSDIST((LN(SQRT(G29*H29))-LN($C$4:$C$6))/$B$9))</f>
        <v/>
      </c>
      <c r="J29" s="9">
        <f>IF(L28&gt;0.25,SQRT(J28*K28),J28)</f>
        <v/>
      </c>
      <c r="K29" s="9">
        <f>IF(L28&gt;0.25,K28,SQRT(J28*K28))</f>
        <v/>
      </c>
      <c r="L29" s="45">
        <f>SUMPRODUCT($B$4:$B$6,1-NORMSDIST((LN(SQRT(J29*K29))-LN($C$4:$C$6))/$B$9))</f>
        <v/>
      </c>
      <c r="M29" s="9">
        <f>IF(O28&gt;0.09999999999999998,SQRT(M28*N28),M28)</f>
        <v/>
      </c>
      <c r="N29" s="9">
        <f>IF(O28&gt;0.09999999999999998,N28,SQRT(M28*N28))</f>
        <v/>
      </c>
      <c r="O29" s="45">
        <f>SUMPRODUCT($B$4:$B$6,1-NORMSDIST((LN(SQRT(M29*N29))-LN($C$4:$C$6))/$B$9))</f>
        <v/>
      </c>
    </row>
    <row r="30">
      <c r="A30" s="9">
        <f>IF(C29&gt;0.5,SQRT(A29*B29),A29)</f>
        <v/>
      </c>
      <c r="B30" s="9">
        <f>IF(C29&gt;0.5,B29,SQRT(A29*B29))</f>
        <v/>
      </c>
      <c r="C30" s="45">
        <f>SUMPRODUCT($B$4:$B$6,1-NORMSDIST((LN(SQRT(A30*B30))-LN($C$4:$C$6))/$B$9))</f>
        <v/>
      </c>
      <c r="D30" s="9">
        <f>IF(F29&gt;0.9,SQRT(D29*E29),D29)</f>
        <v/>
      </c>
      <c r="E30" s="9">
        <f>IF(F29&gt;0.9,E29,SQRT(D29*E29))</f>
        <v/>
      </c>
      <c r="F30" s="45">
        <f>SUMPRODUCT($B$4:$B$6,1-NORMSDIST((LN(SQRT(D30*E30))-LN($C$4:$C$6))/$B$9))</f>
        <v/>
      </c>
      <c r="G30" s="9">
        <f>IF(I29&gt;0.75,SQRT(G29*H29),G29)</f>
        <v/>
      </c>
      <c r="H30" s="9">
        <f>IF(I29&gt;0.75,H29,SQRT(G29*H29))</f>
        <v/>
      </c>
      <c r="I30" s="45">
        <f>SUMPRODUCT($B$4:$B$6,1-NORMSDIST((LN(SQRT(G30*H30))-LN($C$4:$C$6))/$B$9))</f>
        <v/>
      </c>
      <c r="J30" s="9">
        <f>IF(L29&gt;0.25,SQRT(J29*K29),J29)</f>
        <v/>
      </c>
      <c r="K30" s="9">
        <f>IF(L29&gt;0.25,K29,SQRT(J29*K29))</f>
        <v/>
      </c>
      <c r="L30" s="45">
        <f>SUMPRODUCT($B$4:$B$6,1-NORMSDIST((LN(SQRT(J30*K30))-LN($C$4:$C$6))/$B$9))</f>
        <v/>
      </c>
      <c r="M30" s="9">
        <f>IF(O29&gt;0.09999999999999998,SQRT(M29*N29),M29)</f>
        <v/>
      </c>
      <c r="N30" s="9">
        <f>IF(O29&gt;0.09999999999999998,N29,SQRT(M29*N29))</f>
        <v/>
      </c>
      <c r="O30" s="45">
        <f>SUMPRODUCT($B$4:$B$6,1-NORMSDIST((LN(SQRT(M30*N30))-LN($C$4:$C$6))/$B$9))</f>
        <v/>
      </c>
    </row>
    <row r="31">
      <c r="A31" s="9">
        <f>IF(C30&gt;0.5,SQRT(A30*B30),A30)</f>
        <v/>
      </c>
      <c r="B31" s="9">
        <f>IF(C30&gt;0.5,B30,SQRT(A30*B30))</f>
        <v/>
      </c>
      <c r="C31" s="45">
        <f>SUMPRODUCT($B$4:$B$6,1-NORMSDIST((LN(SQRT(A31*B31))-LN($C$4:$C$6))/$B$9))</f>
        <v/>
      </c>
      <c r="D31" s="9">
        <f>IF(F30&gt;0.9,SQRT(D30*E30),D30)</f>
        <v/>
      </c>
      <c r="E31" s="9">
        <f>IF(F30&gt;0.9,E30,SQRT(D30*E30))</f>
        <v/>
      </c>
      <c r="F31" s="45">
        <f>SUMPRODUCT($B$4:$B$6,1-NORMSDIST((LN(SQRT(D31*E31))-LN($C$4:$C$6))/$B$9))</f>
        <v/>
      </c>
      <c r="G31" s="9">
        <f>IF(I30&gt;0.75,SQRT(G30*H30),G30)</f>
        <v/>
      </c>
      <c r="H31" s="9">
        <f>IF(I30&gt;0.75,H30,SQRT(G30*H30))</f>
        <v/>
      </c>
      <c r="I31" s="45">
        <f>SUMPRODUCT($B$4:$B$6,1-NORMSDIST((LN(SQRT(G31*H31))-LN($C$4:$C$6))/$B$9))</f>
        <v/>
      </c>
      <c r="J31" s="9">
        <f>IF(L30&gt;0.25,SQRT(J30*K30),J30)</f>
        <v/>
      </c>
      <c r="K31" s="9">
        <f>IF(L30&gt;0.25,K30,SQRT(J30*K30))</f>
        <v/>
      </c>
      <c r="L31" s="45">
        <f>SUMPRODUCT($B$4:$B$6,1-NORMSDIST((LN(SQRT(J31*K31))-LN($C$4:$C$6))/$B$9))</f>
        <v/>
      </c>
      <c r="M31" s="9">
        <f>IF(O30&gt;0.09999999999999998,SQRT(M30*N30),M30)</f>
        <v/>
      </c>
      <c r="N31" s="9">
        <f>IF(O30&gt;0.09999999999999998,N30,SQRT(M30*N30))</f>
        <v/>
      </c>
      <c r="O31" s="45">
        <f>SUMPRODUCT($B$4:$B$6,1-NORMSDIST((LN(SQRT(M31*N31))-LN($C$4:$C$6))/$B$9))</f>
        <v/>
      </c>
    </row>
    <row r="32">
      <c r="A32" s="9">
        <f>IF(C31&gt;0.5,SQRT(A31*B31),A31)</f>
        <v/>
      </c>
      <c r="B32" s="9">
        <f>IF(C31&gt;0.5,B31,SQRT(A31*B31))</f>
        <v/>
      </c>
      <c r="C32" s="45">
        <f>SUMPRODUCT($B$4:$B$6,1-NORMSDIST((LN(SQRT(A32*B32))-LN($C$4:$C$6))/$B$9))</f>
        <v/>
      </c>
      <c r="D32" s="9">
        <f>IF(F31&gt;0.9,SQRT(D31*E31),D31)</f>
        <v/>
      </c>
      <c r="E32" s="9">
        <f>IF(F31&gt;0.9,E31,SQRT(D31*E31))</f>
        <v/>
      </c>
      <c r="F32" s="45">
        <f>SUMPRODUCT($B$4:$B$6,1-NORMSDIST((LN(SQRT(D32*E32))-LN($C$4:$C$6))/$B$9))</f>
        <v/>
      </c>
      <c r="G32" s="9">
        <f>IF(I31&gt;0.75,SQRT(G31*H31),G31)</f>
        <v/>
      </c>
      <c r="H32" s="9">
        <f>IF(I31&gt;0.75,H31,SQRT(G31*H31))</f>
        <v/>
      </c>
      <c r="I32" s="45">
        <f>SUMPRODUCT($B$4:$B$6,1-NORMSDIST((LN(SQRT(G32*H32))-LN($C$4:$C$6))/$B$9))</f>
        <v/>
      </c>
      <c r="J32" s="9">
        <f>IF(L31&gt;0.25,SQRT(J31*K31),J31)</f>
        <v/>
      </c>
      <c r="K32" s="9">
        <f>IF(L31&gt;0.25,K31,SQRT(J31*K31))</f>
        <v/>
      </c>
      <c r="L32" s="45">
        <f>SUMPRODUCT($B$4:$B$6,1-NORMSDIST((LN(SQRT(J32*K32))-LN($C$4:$C$6))/$B$9))</f>
        <v/>
      </c>
      <c r="M32" s="9">
        <f>IF(O31&gt;0.09999999999999998,SQRT(M31*N31),M31)</f>
        <v/>
      </c>
      <c r="N32" s="9">
        <f>IF(O31&gt;0.09999999999999998,N31,SQRT(M31*N31))</f>
        <v/>
      </c>
      <c r="O32" s="45">
        <f>SUMPRODUCT($B$4:$B$6,1-NORMSDIST((LN(SQRT(M32*N32))-LN($C$4:$C$6))/$B$9))</f>
        <v/>
      </c>
    </row>
    <row r="33">
      <c r="A33" s="9">
        <f>IF(C32&gt;0.5,SQRT(A32*B32),A32)</f>
        <v/>
      </c>
      <c r="B33" s="9">
        <f>IF(C32&gt;0.5,B32,SQRT(A32*B32))</f>
        <v/>
      </c>
      <c r="C33" s="45">
        <f>SUMPRODUCT($B$4:$B$6,1-NORMSDIST((LN(SQRT(A33*B33))-LN($C$4:$C$6))/$B$9))</f>
        <v/>
      </c>
      <c r="D33" s="9">
        <f>IF(F32&gt;0.9,SQRT(D32*E32),D32)</f>
        <v/>
      </c>
      <c r="E33" s="9">
        <f>IF(F32&gt;0.9,E32,SQRT(D32*E32))</f>
        <v/>
      </c>
      <c r="F33" s="45">
        <f>SUMPRODUCT($B$4:$B$6,1-NORMSDIST((LN(SQRT(D33*E33))-LN($C$4:$C$6))/$B$9))</f>
        <v/>
      </c>
      <c r="G33" s="9">
        <f>IF(I32&gt;0.75,SQRT(G32*H32),G32)</f>
        <v/>
      </c>
      <c r="H33" s="9">
        <f>IF(I32&gt;0.75,H32,SQRT(G32*H32))</f>
        <v/>
      </c>
      <c r="I33" s="45">
        <f>SUMPRODUCT($B$4:$B$6,1-NORMSDIST((LN(SQRT(G33*H33))-LN($C$4:$C$6))/$B$9))</f>
        <v/>
      </c>
      <c r="J33" s="9">
        <f>IF(L32&gt;0.25,SQRT(J32*K32),J32)</f>
        <v/>
      </c>
      <c r="K33" s="9">
        <f>IF(L32&gt;0.25,K32,SQRT(J32*K32))</f>
        <v/>
      </c>
      <c r="L33" s="45">
        <f>SUMPRODUCT($B$4:$B$6,1-NORMSDIST((LN(SQRT(J33*K33))-LN($C$4:$C$6))/$B$9))</f>
        <v/>
      </c>
      <c r="M33" s="9">
        <f>IF(O32&gt;0.09999999999999998,SQRT(M32*N32),M32)</f>
        <v/>
      </c>
      <c r="N33" s="9">
        <f>IF(O32&gt;0.09999999999999998,N32,SQRT(M32*N32))</f>
        <v/>
      </c>
      <c r="O33" s="45">
        <f>SUMPRODUCT($B$4:$B$6,1-NORMSDIST((LN(SQRT(M33*N33))-LN($C$4:$C$6))/$B$9))</f>
        <v/>
      </c>
    </row>
    <row r="34">
      <c r="A34" s="9">
        <f>IF(C33&gt;0.5,SQRT(A33*B33),A33)</f>
        <v/>
      </c>
      <c r="B34" s="9">
        <f>IF(C33&gt;0.5,B33,SQRT(A33*B33))</f>
        <v/>
      </c>
      <c r="C34" s="45">
        <f>SUMPRODUCT($B$4:$B$6,1-NORMSDIST((LN(SQRT(A34*B34))-LN($C$4:$C$6))/$B$9))</f>
        <v/>
      </c>
      <c r="D34" s="9">
        <f>IF(F33&gt;0.9,SQRT(D33*E33),D33)</f>
        <v/>
      </c>
      <c r="E34" s="9">
        <f>IF(F33&gt;0.9,E33,SQRT(D33*E33))</f>
        <v/>
      </c>
      <c r="F34" s="45">
        <f>SUMPRODUCT($B$4:$B$6,1-NORMSDIST((LN(SQRT(D34*E34))-LN($C$4:$C$6))/$B$9))</f>
        <v/>
      </c>
      <c r="G34" s="9">
        <f>IF(I33&gt;0.75,SQRT(G33*H33),G33)</f>
        <v/>
      </c>
      <c r="H34" s="9">
        <f>IF(I33&gt;0.75,H33,SQRT(G33*H33))</f>
        <v/>
      </c>
      <c r="I34" s="45">
        <f>SUMPRODUCT($B$4:$B$6,1-NORMSDIST((LN(SQRT(G34*H34))-LN($C$4:$C$6))/$B$9))</f>
        <v/>
      </c>
      <c r="J34" s="9">
        <f>IF(L33&gt;0.25,SQRT(J33*K33),J33)</f>
        <v/>
      </c>
      <c r="K34" s="9">
        <f>IF(L33&gt;0.25,K33,SQRT(J33*K33))</f>
        <v/>
      </c>
      <c r="L34" s="45">
        <f>SUMPRODUCT($B$4:$B$6,1-NORMSDIST((LN(SQRT(J34*K34))-LN($C$4:$C$6))/$B$9))</f>
        <v/>
      </c>
      <c r="M34" s="9">
        <f>IF(O33&gt;0.09999999999999998,SQRT(M33*N33),M33)</f>
        <v/>
      </c>
      <c r="N34" s="9">
        <f>IF(O33&gt;0.09999999999999998,N33,SQRT(M33*N33))</f>
        <v/>
      </c>
      <c r="O34" s="45">
        <f>SUMPRODUCT($B$4:$B$6,1-NORMSDIST((LN(SQRT(M34*N34))-LN($C$4:$C$6))/$B$9))</f>
        <v/>
      </c>
    </row>
    <row r="35">
      <c r="A35" s="9">
        <f>IF(C34&gt;0.5,SQRT(A34*B34),A34)</f>
        <v/>
      </c>
      <c r="B35" s="9">
        <f>IF(C34&gt;0.5,B34,SQRT(A34*B34))</f>
        <v/>
      </c>
      <c r="C35" s="45">
        <f>SUMPRODUCT($B$4:$B$6,1-NORMSDIST((LN(SQRT(A35*B35))-LN($C$4:$C$6))/$B$9))</f>
        <v/>
      </c>
      <c r="D35" s="9">
        <f>IF(F34&gt;0.9,SQRT(D34*E34),D34)</f>
        <v/>
      </c>
      <c r="E35" s="9">
        <f>IF(F34&gt;0.9,E34,SQRT(D34*E34))</f>
        <v/>
      </c>
      <c r="F35" s="45">
        <f>SUMPRODUCT($B$4:$B$6,1-NORMSDIST((LN(SQRT(D35*E35))-LN($C$4:$C$6))/$B$9))</f>
        <v/>
      </c>
      <c r="G35" s="9">
        <f>IF(I34&gt;0.75,SQRT(G34*H34),G34)</f>
        <v/>
      </c>
      <c r="H35" s="9">
        <f>IF(I34&gt;0.75,H34,SQRT(G34*H34))</f>
        <v/>
      </c>
      <c r="I35" s="45">
        <f>SUMPRODUCT($B$4:$B$6,1-NORMSDIST((LN(SQRT(G35*H35))-LN($C$4:$C$6))/$B$9))</f>
        <v/>
      </c>
      <c r="J35" s="9">
        <f>IF(L34&gt;0.25,SQRT(J34*K34),J34)</f>
        <v/>
      </c>
      <c r="K35" s="9">
        <f>IF(L34&gt;0.25,K34,SQRT(J34*K34))</f>
        <v/>
      </c>
      <c r="L35" s="45">
        <f>SUMPRODUCT($B$4:$B$6,1-NORMSDIST((LN(SQRT(J35*K35))-LN($C$4:$C$6))/$B$9))</f>
        <v/>
      </c>
      <c r="M35" s="9">
        <f>IF(O34&gt;0.09999999999999998,SQRT(M34*N34),M34)</f>
        <v/>
      </c>
      <c r="N35" s="9">
        <f>IF(O34&gt;0.09999999999999998,N34,SQRT(M34*N34))</f>
        <v/>
      </c>
      <c r="O35" s="45">
        <f>SUMPRODUCT($B$4:$B$6,1-NORMSDIST((LN(SQRT(M35*N35))-LN($C$4:$C$6))/$B$9))</f>
        <v/>
      </c>
    </row>
    <row r="36">
      <c r="A36" s="9">
        <f>IF(C35&gt;0.5,SQRT(A35*B35),A35)</f>
        <v/>
      </c>
      <c r="B36" s="9">
        <f>IF(C35&gt;0.5,B35,SQRT(A35*B35))</f>
        <v/>
      </c>
      <c r="C36" s="45">
        <f>SUMPRODUCT($B$4:$B$6,1-NORMSDIST((LN(SQRT(A36*B36))-LN($C$4:$C$6))/$B$9))</f>
        <v/>
      </c>
      <c r="D36" s="9">
        <f>IF(F35&gt;0.9,SQRT(D35*E35),D35)</f>
        <v/>
      </c>
      <c r="E36" s="9">
        <f>IF(F35&gt;0.9,E35,SQRT(D35*E35))</f>
        <v/>
      </c>
      <c r="F36" s="45">
        <f>SUMPRODUCT($B$4:$B$6,1-NORMSDIST((LN(SQRT(D36*E36))-LN($C$4:$C$6))/$B$9))</f>
        <v/>
      </c>
      <c r="G36" s="9">
        <f>IF(I35&gt;0.75,SQRT(G35*H35),G35)</f>
        <v/>
      </c>
      <c r="H36" s="9">
        <f>IF(I35&gt;0.75,H35,SQRT(G35*H35))</f>
        <v/>
      </c>
      <c r="I36" s="45">
        <f>SUMPRODUCT($B$4:$B$6,1-NORMSDIST((LN(SQRT(G36*H36))-LN($C$4:$C$6))/$B$9))</f>
        <v/>
      </c>
      <c r="J36" s="9">
        <f>IF(L35&gt;0.25,SQRT(J35*K35),J35)</f>
        <v/>
      </c>
      <c r="K36" s="9">
        <f>IF(L35&gt;0.25,K35,SQRT(J35*K35))</f>
        <v/>
      </c>
      <c r="L36" s="45">
        <f>SUMPRODUCT($B$4:$B$6,1-NORMSDIST((LN(SQRT(J36*K36))-LN($C$4:$C$6))/$B$9))</f>
        <v/>
      </c>
      <c r="M36" s="9">
        <f>IF(O35&gt;0.09999999999999998,SQRT(M35*N35),M35)</f>
        <v/>
      </c>
      <c r="N36" s="9">
        <f>IF(O35&gt;0.09999999999999998,N35,SQRT(M35*N35))</f>
        <v/>
      </c>
      <c r="O36" s="45">
        <f>SUMPRODUCT($B$4:$B$6,1-NORMSDIST((LN(SQRT(M36*N36))-LN($C$4:$C$6))/$B$9))</f>
        <v/>
      </c>
    </row>
    <row r="37">
      <c r="A37" s="9">
        <f>IF(C36&gt;0.5,SQRT(A36*B36),A36)</f>
        <v/>
      </c>
      <c r="B37" s="9">
        <f>IF(C36&gt;0.5,B36,SQRT(A36*B36))</f>
        <v/>
      </c>
      <c r="C37" s="45">
        <f>SUMPRODUCT($B$4:$B$6,1-NORMSDIST((LN(SQRT(A37*B37))-LN($C$4:$C$6))/$B$9))</f>
        <v/>
      </c>
      <c r="D37" s="9">
        <f>IF(F36&gt;0.9,SQRT(D36*E36),D36)</f>
        <v/>
      </c>
      <c r="E37" s="9">
        <f>IF(F36&gt;0.9,E36,SQRT(D36*E36))</f>
        <v/>
      </c>
      <c r="F37" s="45">
        <f>SUMPRODUCT($B$4:$B$6,1-NORMSDIST((LN(SQRT(D37*E37))-LN($C$4:$C$6))/$B$9))</f>
        <v/>
      </c>
      <c r="G37" s="9">
        <f>IF(I36&gt;0.75,SQRT(G36*H36),G36)</f>
        <v/>
      </c>
      <c r="H37" s="9">
        <f>IF(I36&gt;0.75,H36,SQRT(G36*H36))</f>
        <v/>
      </c>
      <c r="I37" s="45">
        <f>SUMPRODUCT($B$4:$B$6,1-NORMSDIST((LN(SQRT(G37*H37))-LN($C$4:$C$6))/$B$9))</f>
        <v/>
      </c>
      <c r="J37" s="9">
        <f>IF(L36&gt;0.25,SQRT(J36*K36),J36)</f>
        <v/>
      </c>
      <c r="K37" s="9">
        <f>IF(L36&gt;0.25,K36,SQRT(J36*K36))</f>
        <v/>
      </c>
      <c r="L37" s="45">
        <f>SUMPRODUCT($B$4:$B$6,1-NORMSDIST((LN(SQRT(J37*K37))-LN($C$4:$C$6))/$B$9))</f>
        <v/>
      </c>
      <c r="M37" s="9">
        <f>IF(O36&gt;0.09999999999999998,SQRT(M36*N36),M36)</f>
        <v/>
      </c>
      <c r="N37" s="9">
        <f>IF(O36&gt;0.09999999999999998,N36,SQRT(M36*N36))</f>
        <v/>
      </c>
      <c r="O37" s="45">
        <f>SUMPRODUCT($B$4:$B$6,1-NORMSDIST((LN(SQRT(M37*N37))-LN($C$4:$C$6))/$B$9))</f>
        <v/>
      </c>
    </row>
    <row r="38">
      <c r="A38" s="9">
        <f>IF(C37&gt;0.5,SQRT(A37*B37),A37)</f>
        <v/>
      </c>
      <c r="B38" s="9">
        <f>IF(C37&gt;0.5,B37,SQRT(A37*B37))</f>
        <v/>
      </c>
      <c r="C38" s="45">
        <f>SUMPRODUCT($B$4:$B$6,1-NORMSDIST((LN(SQRT(A38*B38))-LN($C$4:$C$6))/$B$9))</f>
        <v/>
      </c>
      <c r="D38" s="9">
        <f>IF(F37&gt;0.9,SQRT(D37*E37),D37)</f>
        <v/>
      </c>
      <c r="E38" s="9">
        <f>IF(F37&gt;0.9,E37,SQRT(D37*E37))</f>
        <v/>
      </c>
      <c r="F38" s="45">
        <f>SUMPRODUCT($B$4:$B$6,1-NORMSDIST((LN(SQRT(D38*E38))-LN($C$4:$C$6))/$B$9))</f>
        <v/>
      </c>
      <c r="G38" s="9">
        <f>IF(I37&gt;0.75,SQRT(G37*H37),G37)</f>
        <v/>
      </c>
      <c r="H38" s="9">
        <f>IF(I37&gt;0.75,H37,SQRT(G37*H37))</f>
        <v/>
      </c>
      <c r="I38" s="45">
        <f>SUMPRODUCT($B$4:$B$6,1-NORMSDIST((LN(SQRT(G38*H38))-LN($C$4:$C$6))/$B$9))</f>
        <v/>
      </c>
      <c r="J38" s="9">
        <f>IF(L37&gt;0.25,SQRT(J37*K37),J37)</f>
        <v/>
      </c>
      <c r="K38" s="9">
        <f>IF(L37&gt;0.25,K37,SQRT(J37*K37))</f>
        <v/>
      </c>
      <c r="L38" s="45">
        <f>SUMPRODUCT($B$4:$B$6,1-NORMSDIST((LN(SQRT(J38*K38))-LN($C$4:$C$6))/$B$9))</f>
        <v/>
      </c>
      <c r="M38" s="9">
        <f>IF(O37&gt;0.09999999999999998,SQRT(M37*N37),M37)</f>
        <v/>
      </c>
      <c r="N38" s="9">
        <f>IF(O37&gt;0.09999999999999998,N37,SQRT(M37*N37))</f>
        <v/>
      </c>
      <c r="O38" s="45">
        <f>SUMPRODUCT($B$4:$B$6,1-NORMSDIST((LN(SQRT(M38*N38))-LN($C$4:$C$6))/$B$9))</f>
        <v/>
      </c>
    </row>
    <row r="39">
      <c r="A39" s="9">
        <f>IF(C38&gt;0.5,SQRT(A38*B38),A38)</f>
        <v/>
      </c>
      <c r="B39" s="9">
        <f>IF(C38&gt;0.5,B38,SQRT(A38*B38))</f>
        <v/>
      </c>
      <c r="C39" s="45">
        <f>SUMPRODUCT($B$4:$B$6,1-NORMSDIST((LN(SQRT(A39*B39))-LN($C$4:$C$6))/$B$9))</f>
        <v/>
      </c>
      <c r="D39" s="9">
        <f>IF(F38&gt;0.9,SQRT(D38*E38),D38)</f>
        <v/>
      </c>
      <c r="E39" s="9">
        <f>IF(F38&gt;0.9,E38,SQRT(D38*E38))</f>
        <v/>
      </c>
      <c r="F39" s="45">
        <f>SUMPRODUCT($B$4:$B$6,1-NORMSDIST((LN(SQRT(D39*E39))-LN($C$4:$C$6))/$B$9))</f>
        <v/>
      </c>
      <c r="G39" s="9">
        <f>IF(I38&gt;0.75,SQRT(G38*H38),G38)</f>
        <v/>
      </c>
      <c r="H39" s="9">
        <f>IF(I38&gt;0.75,H38,SQRT(G38*H38))</f>
        <v/>
      </c>
      <c r="I39" s="45">
        <f>SUMPRODUCT($B$4:$B$6,1-NORMSDIST((LN(SQRT(G39*H39))-LN($C$4:$C$6))/$B$9))</f>
        <v/>
      </c>
      <c r="J39" s="9">
        <f>IF(L38&gt;0.25,SQRT(J38*K38),J38)</f>
        <v/>
      </c>
      <c r="K39" s="9">
        <f>IF(L38&gt;0.25,K38,SQRT(J38*K38))</f>
        <v/>
      </c>
      <c r="L39" s="45">
        <f>SUMPRODUCT($B$4:$B$6,1-NORMSDIST((LN(SQRT(J39*K39))-LN($C$4:$C$6))/$B$9))</f>
        <v/>
      </c>
      <c r="M39" s="9">
        <f>IF(O38&gt;0.09999999999999998,SQRT(M38*N38),M38)</f>
        <v/>
      </c>
      <c r="N39" s="9">
        <f>IF(O38&gt;0.09999999999999998,N38,SQRT(M38*N38))</f>
        <v/>
      </c>
      <c r="O39" s="45">
        <f>SUMPRODUCT($B$4:$B$6,1-NORMSDIST((LN(SQRT(M39*N39))-LN($C$4:$C$6))/$B$9))</f>
        <v/>
      </c>
    </row>
    <row r="40">
      <c r="A40" s="9">
        <f>IF(C39&gt;0.5,SQRT(A39*B39),A39)</f>
        <v/>
      </c>
      <c r="B40" s="9">
        <f>IF(C39&gt;0.5,B39,SQRT(A39*B39))</f>
        <v/>
      </c>
      <c r="C40" s="45">
        <f>SUMPRODUCT($B$4:$B$6,1-NORMSDIST((LN(SQRT(A40*B40))-LN($C$4:$C$6))/$B$9))</f>
        <v/>
      </c>
      <c r="D40" s="9">
        <f>IF(F39&gt;0.9,SQRT(D39*E39),D39)</f>
        <v/>
      </c>
      <c r="E40" s="9">
        <f>IF(F39&gt;0.9,E39,SQRT(D39*E39))</f>
        <v/>
      </c>
      <c r="F40" s="45">
        <f>SUMPRODUCT($B$4:$B$6,1-NORMSDIST((LN(SQRT(D40*E40))-LN($C$4:$C$6))/$B$9))</f>
        <v/>
      </c>
      <c r="G40" s="9">
        <f>IF(I39&gt;0.75,SQRT(G39*H39),G39)</f>
        <v/>
      </c>
      <c r="H40" s="9">
        <f>IF(I39&gt;0.75,H39,SQRT(G39*H39))</f>
        <v/>
      </c>
      <c r="I40" s="45">
        <f>SUMPRODUCT($B$4:$B$6,1-NORMSDIST((LN(SQRT(G40*H40))-LN($C$4:$C$6))/$B$9))</f>
        <v/>
      </c>
      <c r="J40" s="9">
        <f>IF(L39&gt;0.25,SQRT(J39*K39),J39)</f>
        <v/>
      </c>
      <c r="K40" s="9">
        <f>IF(L39&gt;0.25,K39,SQRT(J39*K39))</f>
        <v/>
      </c>
      <c r="L40" s="45">
        <f>SUMPRODUCT($B$4:$B$6,1-NORMSDIST((LN(SQRT(J40*K40))-LN($C$4:$C$6))/$B$9))</f>
        <v/>
      </c>
      <c r="M40" s="9">
        <f>IF(O39&gt;0.09999999999999998,SQRT(M39*N39),M39)</f>
        <v/>
      </c>
      <c r="N40" s="9">
        <f>IF(O39&gt;0.09999999999999998,N39,SQRT(M39*N39))</f>
        <v/>
      </c>
      <c r="O40" s="45">
        <f>SUMPRODUCT($B$4:$B$6,1-NORMSDIST((LN(SQRT(M40*N40))-LN($C$4:$C$6))/$B$9))</f>
        <v/>
      </c>
    </row>
    <row r="41">
      <c r="A41" s="9">
        <f>IF(C40&gt;0.5,SQRT(A40*B40),A40)</f>
        <v/>
      </c>
      <c r="B41" s="9">
        <f>IF(C40&gt;0.5,B40,SQRT(A40*B40))</f>
        <v/>
      </c>
      <c r="C41" s="45">
        <f>SUMPRODUCT($B$4:$B$6,1-NORMSDIST((LN(SQRT(A41*B41))-LN($C$4:$C$6))/$B$9))</f>
        <v/>
      </c>
      <c r="D41" s="9">
        <f>IF(F40&gt;0.9,SQRT(D40*E40),D40)</f>
        <v/>
      </c>
      <c r="E41" s="9">
        <f>IF(F40&gt;0.9,E40,SQRT(D40*E40))</f>
        <v/>
      </c>
      <c r="F41" s="45">
        <f>SUMPRODUCT($B$4:$B$6,1-NORMSDIST((LN(SQRT(D41*E41))-LN($C$4:$C$6))/$B$9))</f>
        <v/>
      </c>
      <c r="G41" s="9">
        <f>IF(I40&gt;0.75,SQRT(G40*H40),G40)</f>
        <v/>
      </c>
      <c r="H41" s="9">
        <f>IF(I40&gt;0.75,H40,SQRT(G40*H40))</f>
        <v/>
      </c>
      <c r="I41" s="45">
        <f>SUMPRODUCT($B$4:$B$6,1-NORMSDIST((LN(SQRT(G41*H41))-LN($C$4:$C$6))/$B$9))</f>
        <v/>
      </c>
      <c r="J41" s="9">
        <f>IF(L40&gt;0.25,SQRT(J40*K40),J40)</f>
        <v/>
      </c>
      <c r="K41" s="9">
        <f>IF(L40&gt;0.25,K40,SQRT(J40*K40))</f>
        <v/>
      </c>
      <c r="L41" s="45">
        <f>SUMPRODUCT($B$4:$B$6,1-NORMSDIST((LN(SQRT(J41*K41))-LN($C$4:$C$6))/$B$9))</f>
        <v/>
      </c>
      <c r="M41" s="9">
        <f>IF(O40&gt;0.09999999999999998,SQRT(M40*N40),M40)</f>
        <v/>
      </c>
      <c r="N41" s="9">
        <f>IF(O40&gt;0.09999999999999998,N40,SQRT(M40*N40))</f>
        <v/>
      </c>
      <c r="O41" s="45">
        <f>SUMPRODUCT($B$4:$B$6,1-NORMSDIST((LN(SQRT(M41*N41))-LN($C$4:$C$6))/$B$9))</f>
        <v/>
      </c>
    </row>
    <row r="42">
      <c r="A42" s="9">
        <f>IF(C41&gt;0.5,SQRT(A41*B41),A41)</f>
        <v/>
      </c>
      <c r="B42" s="9">
        <f>IF(C41&gt;0.5,B41,SQRT(A41*B41))</f>
        <v/>
      </c>
      <c r="C42" s="45">
        <f>SUMPRODUCT($B$4:$B$6,1-NORMSDIST((LN(SQRT(A42*B42))-LN($C$4:$C$6))/$B$9))</f>
        <v/>
      </c>
      <c r="D42" s="9">
        <f>IF(F41&gt;0.9,SQRT(D41*E41),D41)</f>
        <v/>
      </c>
      <c r="E42" s="9">
        <f>IF(F41&gt;0.9,E41,SQRT(D41*E41))</f>
        <v/>
      </c>
      <c r="F42" s="45">
        <f>SUMPRODUCT($B$4:$B$6,1-NORMSDIST((LN(SQRT(D42*E42))-LN($C$4:$C$6))/$B$9))</f>
        <v/>
      </c>
      <c r="G42" s="9">
        <f>IF(I41&gt;0.75,SQRT(G41*H41),G41)</f>
        <v/>
      </c>
      <c r="H42" s="9">
        <f>IF(I41&gt;0.75,H41,SQRT(G41*H41))</f>
        <v/>
      </c>
      <c r="I42" s="45">
        <f>SUMPRODUCT($B$4:$B$6,1-NORMSDIST((LN(SQRT(G42*H42))-LN($C$4:$C$6))/$B$9))</f>
        <v/>
      </c>
      <c r="J42" s="9">
        <f>IF(L41&gt;0.25,SQRT(J41*K41),J41)</f>
        <v/>
      </c>
      <c r="K42" s="9">
        <f>IF(L41&gt;0.25,K41,SQRT(J41*K41))</f>
        <v/>
      </c>
      <c r="L42" s="45">
        <f>SUMPRODUCT($B$4:$B$6,1-NORMSDIST((LN(SQRT(J42*K42))-LN($C$4:$C$6))/$B$9))</f>
        <v/>
      </c>
      <c r="M42" s="9">
        <f>IF(O41&gt;0.09999999999999998,SQRT(M41*N41),M41)</f>
        <v/>
      </c>
      <c r="N42" s="9">
        <f>IF(O41&gt;0.09999999999999998,N41,SQRT(M41*N41))</f>
        <v/>
      </c>
      <c r="O42" s="45">
        <f>SUMPRODUCT($B$4:$B$6,1-NORMSDIST((LN(SQRT(M42*N42))-LN($C$4:$C$6))/$B$9))</f>
        <v/>
      </c>
    </row>
    <row r="43">
      <c r="A43" s="9">
        <f>IF(C42&gt;0.5,SQRT(A42*B42),A42)</f>
        <v/>
      </c>
      <c r="B43" s="9">
        <f>IF(C42&gt;0.5,B42,SQRT(A42*B42))</f>
        <v/>
      </c>
      <c r="C43" s="45">
        <f>SUMPRODUCT($B$4:$B$6,1-NORMSDIST((LN(SQRT(A43*B43))-LN($C$4:$C$6))/$B$9))</f>
        <v/>
      </c>
      <c r="D43" s="9">
        <f>IF(F42&gt;0.9,SQRT(D42*E42),D42)</f>
        <v/>
      </c>
      <c r="E43" s="9">
        <f>IF(F42&gt;0.9,E42,SQRT(D42*E42))</f>
        <v/>
      </c>
      <c r="F43" s="45">
        <f>SUMPRODUCT($B$4:$B$6,1-NORMSDIST((LN(SQRT(D43*E43))-LN($C$4:$C$6))/$B$9))</f>
        <v/>
      </c>
      <c r="G43" s="9">
        <f>IF(I42&gt;0.75,SQRT(G42*H42),G42)</f>
        <v/>
      </c>
      <c r="H43" s="9">
        <f>IF(I42&gt;0.75,H42,SQRT(G42*H42))</f>
        <v/>
      </c>
      <c r="I43" s="45">
        <f>SUMPRODUCT($B$4:$B$6,1-NORMSDIST((LN(SQRT(G43*H43))-LN($C$4:$C$6))/$B$9))</f>
        <v/>
      </c>
      <c r="J43" s="9">
        <f>IF(L42&gt;0.25,SQRT(J42*K42),J42)</f>
        <v/>
      </c>
      <c r="K43" s="9">
        <f>IF(L42&gt;0.25,K42,SQRT(J42*K42))</f>
        <v/>
      </c>
      <c r="L43" s="45">
        <f>SUMPRODUCT($B$4:$B$6,1-NORMSDIST((LN(SQRT(J43*K43))-LN($C$4:$C$6))/$B$9))</f>
        <v/>
      </c>
      <c r="M43" s="9">
        <f>IF(O42&gt;0.09999999999999998,SQRT(M42*N42),M42)</f>
        <v/>
      </c>
      <c r="N43" s="9">
        <f>IF(O42&gt;0.09999999999999998,N42,SQRT(M42*N42))</f>
        <v/>
      </c>
      <c r="O43" s="45">
        <f>SUMPRODUCT($B$4:$B$6,1-NORMSDIST((LN(SQRT(M43*N43))-LN($C$4:$C$6))/$B$9))</f>
        <v/>
      </c>
    </row>
    <row r="44">
      <c r="A44" s="9">
        <f>IF(C43&gt;0.5,SQRT(A43*B43),A43)</f>
        <v/>
      </c>
      <c r="B44" s="9">
        <f>IF(C43&gt;0.5,B43,SQRT(A43*B43))</f>
        <v/>
      </c>
      <c r="C44" s="45">
        <f>SUMPRODUCT($B$4:$B$6,1-NORMSDIST((LN(SQRT(A44*B44))-LN($C$4:$C$6))/$B$9))</f>
        <v/>
      </c>
      <c r="D44" s="9">
        <f>IF(F43&gt;0.9,SQRT(D43*E43),D43)</f>
        <v/>
      </c>
      <c r="E44" s="9">
        <f>IF(F43&gt;0.9,E43,SQRT(D43*E43))</f>
        <v/>
      </c>
      <c r="F44" s="45">
        <f>SUMPRODUCT($B$4:$B$6,1-NORMSDIST((LN(SQRT(D44*E44))-LN($C$4:$C$6))/$B$9))</f>
        <v/>
      </c>
      <c r="G44" s="9">
        <f>IF(I43&gt;0.75,SQRT(G43*H43),G43)</f>
        <v/>
      </c>
      <c r="H44" s="9">
        <f>IF(I43&gt;0.75,H43,SQRT(G43*H43))</f>
        <v/>
      </c>
      <c r="I44" s="45">
        <f>SUMPRODUCT($B$4:$B$6,1-NORMSDIST((LN(SQRT(G44*H44))-LN($C$4:$C$6))/$B$9))</f>
        <v/>
      </c>
      <c r="J44" s="9">
        <f>IF(L43&gt;0.25,SQRT(J43*K43),J43)</f>
        <v/>
      </c>
      <c r="K44" s="9">
        <f>IF(L43&gt;0.25,K43,SQRT(J43*K43))</f>
        <v/>
      </c>
      <c r="L44" s="45">
        <f>SUMPRODUCT($B$4:$B$6,1-NORMSDIST((LN(SQRT(J44*K44))-LN($C$4:$C$6))/$B$9))</f>
        <v/>
      </c>
      <c r="M44" s="9">
        <f>IF(O43&gt;0.09999999999999998,SQRT(M43*N43),M43)</f>
        <v/>
      </c>
      <c r="N44" s="9">
        <f>IF(O43&gt;0.09999999999999998,N43,SQRT(M43*N43))</f>
        <v/>
      </c>
      <c r="O44" s="45">
        <f>SUMPRODUCT($B$4:$B$6,1-NORMSDIST((LN(SQRT(M44*N44))-LN($C$4:$C$6))/$B$9))</f>
        <v/>
      </c>
    </row>
    <row r="45">
      <c r="A45" s="9">
        <f>IF(C44&gt;0.5,SQRT(A44*B44),A44)</f>
        <v/>
      </c>
      <c r="B45" s="9">
        <f>IF(C44&gt;0.5,B44,SQRT(A44*B44))</f>
        <v/>
      </c>
      <c r="C45" s="45">
        <f>SUMPRODUCT($B$4:$B$6,1-NORMSDIST((LN(SQRT(A45*B45))-LN($C$4:$C$6))/$B$9))</f>
        <v/>
      </c>
      <c r="D45" s="9">
        <f>IF(F44&gt;0.9,SQRT(D44*E44),D44)</f>
        <v/>
      </c>
      <c r="E45" s="9">
        <f>IF(F44&gt;0.9,E44,SQRT(D44*E44))</f>
        <v/>
      </c>
      <c r="F45" s="45">
        <f>SUMPRODUCT($B$4:$B$6,1-NORMSDIST((LN(SQRT(D45*E45))-LN($C$4:$C$6))/$B$9))</f>
        <v/>
      </c>
      <c r="G45" s="9">
        <f>IF(I44&gt;0.75,SQRT(G44*H44),G44)</f>
        <v/>
      </c>
      <c r="H45" s="9">
        <f>IF(I44&gt;0.75,H44,SQRT(G44*H44))</f>
        <v/>
      </c>
      <c r="I45" s="45">
        <f>SUMPRODUCT($B$4:$B$6,1-NORMSDIST((LN(SQRT(G45*H45))-LN($C$4:$C$6))/$B$9))</f>
        <v/>
      </c>
      <c r="J45" s="9">
        <f>IF(L44&gt;0.25,SQRT(J44*K44),J44)</f>
        <v/>
      </c>
      <c r="K45" s="9">
        <f>IF(L44&gt;0.25,K44,SQRT(J44*K44))</f>
        <v/>
      </c>
      <c r="L45" s="45">
        <f>SUMPRODUCT($B$4:$B$6,1-NORMSDIST((LN(SQRT(J45*K45))-LN($C$4:$C$6))/$B$9))</f>
        <v/>
      </c>
      <c r="M45" s="9">
        <f>IF(O44&gt;0.09999999999999998,SQRT(M44*N44),M44)</f>
        <v/>
      </c>
      <c r="N45" s="9">
        <f>IF(O44&gt;0.09999999999999998,N44,SQRT(M44*N44))</f>
        <v/>
      </c>
      <c r="O45" s="45">
        <f>SUMPRODUCT($B$4:$B$6,1-NORMSDIST((LN(SQRT(M45*N45))-LN($C$4:$C$6))/$B$9))</f>
        <v/>
      </c>
    </row>
    <row r="46">
      <c r="A46" s="9">
        <f>IF(C45&gt;0.5,SQRT(A45*B45),A45)</f>
        <v/>
      </c>
      <c r="B46" s="9">
        <f>IF(C45&gt;0.5,B45,SQRT(A45*B45))</f>
        <v/>
      </c>
      <c r="C46" s="45">
        <f>SUMPRODUCT($B$4:$B$6,1-NORMSDIST((LN(SQRT(A46*B46))-LN($C$4:$C$6))/$B$9))</f>
        <v/>
      </c>
      <c r="D46" s="9">
        <f>IF(F45&gt;0.9,SQRT(D45*E45),D45)</f>
        <v/>
      </c>
      <c r="E46" s="9">
        <f>IF(F45&gt;0.9,E45,SQRT(D45*E45))</f>
        <v/>
      </c>
      <c r="F46" s="45">
        <f>SUMPRODUCT($B$4:$B$6,1-NORMSDIST((LN(SQRT(D46*E46))-LN($C$4:$C$6))/$B$9))</f>
        <v/>
      </c>
      <c r="G46" s="9">
        <f>IF(I45&gt;0.75,SQRT(G45*H45),G45)</f>
        <v/>
      </c>
      <c r="H46" s="9">
        <f>IF(I45&gt;0.75,H45,SQRT(G45*H45))</f>
        <v/>
      </c>
      <c r="I46" s="45">
        <f>SUMPRODUCT($B$4:$B$6,1-NORMSDIST((LN(SQRT(G46*H46))-LN($C$4:$C$6))/$B$9))</f>
        <v/>
      </c>
      <c r="J46" s="9">
        <f>IF(L45&gt;0.25,SQRT(J45*K45),J45)</f>
        <v/>
      </c>
      <c r="K46" s="9">
        <f>IF(L45&gt;0.25,K45,SQRT(J45*K45))</f>
        <v/>
      </c>
      <c r="L46" s="45">
        <f>SUMPRODUCT($B$4:$B$6,1-NORMSDIST((LN(SQRT(J46*K46))-LN($C$4:$C$6))/$B$9))</f>
        <v/>
      </c>
      <c r="M46" s="9">
        <f>IF(O45&gt;0.09999999999999998,SQRT(M45*N45),M45)</f>
        <v/>
      </c>
      <c r="N46" s="9">
        <f>IF(O45&gt;0.09999999999999998,N45,SQRT(M45*N45))</f>
        <v/>
      </c>
      <c r="O46" s="45">
        <f>SUMPRODUCT($B$4:$B$6,1-NORMSDIST((LN(SQRT(M46*N46))-LN($C$4:$C$6))/$B$9))</f>
        <v/>
      </c>
    </row>
    <row r="47">
      <c r="A47" s="9">
        <f>IF(C46&gt;0.5,SQRT(A46*B46),A46)</f>
        <v/>
      </c>
      <c r="B47" s="9">
        <f>IF(C46&gt;0.5,B46,SQRT(A46*B46))</f>
        <v/>
      </c>
      <c r="C47" s="45">
        <f>SUMPRODUCT($B$4:$B$6,1-NORMSDIST((LN(SQRT(A47*B47))-LN($C$4:$C$6))/$B$9))</f>
        <v/>
      </c>
      <c r="D47" s="9">
        <f>IF(F46&gt;0.9,SQRT(D46*E46),D46)</f>
        <v/>
      </c>
      <c r="E47" s="9">
        <f>IF(F46&gt;0.9,E46,SQRT(D46*E46))</f>
        <v/>
      </c>
      <c r="F47" s="45">
        <f>SUMPRODUCT($B$4:$B$6,1-NORMSDIST((LN(SQRT(D47*E47))-LN($C$4:$C$6))/$B$9))</f>
        <v/>
      </c>
      <c r="G47" s="9">
        <f>IF(I46&gt;0.75,SQRT(G46*H46),G46)</f>
        <v/>
      </c>
      <c r="H47" s="9">
        <f>IF(I46&gt;0.75,H46,SQRT(G46*H46))</f>
        <v/>
      </c>
      <c r="I47" s="45">
        <f>SUMPRODUCT($B$4:$B$6,1-NORMSDIST((LN(SQRT(G47*H47))-LN($C$4:$C$6))/$B$9))</f>
        <v/>
      </c>
      <c r="J47" s="9">
        <f>IF(L46&gt;0.25,SQRT(J46*K46),J46)</f>
        <v/>
      </c>
      <c r="K47" s="9">
        <f>IF(L46&gt;0.25,K46,SQRT(J46*K46))</f>
        <v/>
      </c>
      <c r="L47" s="45">
        <f>SUMPRODUCT($B$4:$B$6,1-NORMSDIST((LN(SQRT(J47*K47))-LN($C$4:$C$6))/$B$9))</f>
        <v/>
      </c>
      <c r="M47" s="9">
        <f>IF(O46&gt;0.09999999999999998,SQRT(M46*N46),M46)</f>
        <v/>
      </c>
      <c r="N47" s="9">
        <f>IF(O46&gt;0.09999999999999998,N46,SQRT(M46*N46))</f>
        <v/>
      </c>
      <c r="O47" s="45">
        <f>SUMPRODUCT($B$4:$B$6,1-NORMSDIST((LN(SQRT(M47*N47))-LN($C$4:$C$6))/$B$9))</f>
        <v/>
      </c>
    </row>
    <row r="48">
      <c r="A48" s="9">
        <f>IF(C47&gt;0.5,SQRT(A47*B47),A47)</f>
        <v/>
      </c>
      <c r="B48" s="9">
        <f>IF(C47&gt;0.5,B47,SQRT(A47*B47))</f>
        <v/>
      </c>
      <c r="C48" s="45">
        <f>SUMPRODUCT($B$4:$B$6,1-NORMSDIST((LN(SQRT(A48*B48))-LN($C$4:$C$6))/$B$9))</f>
        <v/>
      </c>
      <c r="D48" s="9">
        <f>IF(F47&gt;0.9,SQRT(D47*E47),D47)</f>
        <v/>
      </c>
      <c r="E48" s="9">
        <f>IF(F47&gt;0.9,E47,SQRT(D47*E47))</f>
        <v/>
      </c>
      <c r="F48" s="45">
        <f>SUMPRODUCT($B$4:$B$6,1-NORMSDIST((LN(SQRT(D48*E48))-LN($C$4:$C$6))/$B$9))</f>
        <v/>
      </c>
      <c r="G48" s="9">
        <f>IF(I47&gt;0.75,SQRT(G47*H47),G47)</f>
        <v/>
      </c>
      <c r="H48" s="9">
        <f>IF(I47&gt;0.75,H47,SQRT(G47*H47))</f>
        <v/>
      </c>
      <c r="I48" s="45">
        <f>SUMPRODUCT($B$4:$B$6,1-NORMSDIST((LN(SQRT(G48*H48))-LN($C$4:$C$6))/$B$9))</f>
        <v/>
      </c>
      <c r="J48" s="9">
        <f>IF(L47&gt;0.25,SQRT(J47*K47),J47)</f>
        <v/>
      </c>
      <c r="K48" s="9">
        <f>IF(L47&gt;0.25,K47,SQRT(J47*K47))</f>
        <v/>
      </c>
      <c r="L48" s="45">
        <f>SUMPRODUCT($B$4:$B$6,1-NORMSDIST((LN(SQRT(J48*K48))-LN($C$4:$C$6))/$B$9))</f>
        <v/>
      </c>
      <c r="M48" s="9">
        <f>IF(O47&gt;0.09999999999999998,SQRT(M47*N47),M47)</f>
        <v/>
      </c>
      <c r="N48" s="9">
        <f>IF(O47&gt;0.09999999999999998,N47,SQRT(M47*N47))</f>
        <v/>
      </c>
      <c r="O48" s="45">
        <f>SUMPRODUCT($B$4:$B$6,1-NORMSDIST((LN(SQRT(M48*N48))-LN($C$4:$C$6))/$B$9))</f>
        <v/>
      </c>
    </row>
    <row r="49">
      <c r="A49" s="9">
        <f>IF(C48&gt;0.5,SQRT(A48*B48),A48)</f>
        <v/>
      </c>
      <c r="B49" s="9">
        <f>IF(C48&gt;0.5,B48,SQRT(A48*B48))</f>
        <v/>
      </c>
      <c r="C49" s="45">
        <f>SUMPRODUCT($B$4:$B$6,1-NORMSDIST((LN(SQRT(A49*B49))-LN($C$4:$C$6))/$B$9))</f>
        <v/>
      </c>
      <c r="D49" s="9">
        <f>IF(F48&gt;0.9,SQRT(D48*E48),D48)</f>
        <v/>
      </c>
      <c r="E49" s="9">
        <f>IF(F48&gt;0.9,E48,SQRT(D48*E48))</f>
        <v/>
      </c>
      <c r="F49" s="45">
        <f>SUMPRODUCT($B$4:$B$6,1-NORMSDIST((LN(SQRT(D49*E49))-LN($C$4:$C$6))/$B$9))</f>
        <v/>
      </c>
      <c r="G49" s="9">
        <f>IF(I48&gt;0.75,SQRT(G48*H48),G48)</f>
        <v/>
      </c>
      <c r="H49" s="9">
        <f>IF(I48&gt;0.75,H48,SQRT(G48*H48))</f>
        <v/>
      </c>
      <c r="I49" s="45">
        <f>SUMPRODUCT($B$4:$B$6,1-NORMSDIST((LN(SQRT(G49*H49))-LN($C$4:$C$6))/$B$9))</f>
        <v/>
      </c>
      <c r="J49" s="9">
        <f>IF(L48&gt;0.25,SQRT(J48*K48),J48)</f>
        <v/>
      </c>
      <c r="K49" s="9">
        <f>IF(L48&gt;0.25,K48,SQRT(J48*K48))</f>
        <v/>
      </c>
      <c r="L49" s="45">
        <f>SUMPRODUCT($B$4:$B$6,1-NORMSDIST((LN(SQRT(J49*K49))-LN($C$4:$C$6))/$B$9))</f>
        <v/>
      </c>
      <c r="M49" s="9">
        <f>IF(O48&gt;0.09999999999999998,SQRT(M48*N48),M48)</f>
        <v/>
      </c>
      <c r="N49" s="9">
        <f>IF(O48&gt;0.09999999999999998,N48,SQRT(M48*N48))</f>
        <v/>
      </c>
      <c r="O49" s="45">
        <f>SUMPRODUCT($B$4:$B$6,1-NORMSDIST((LN(SQRT(M49*N49))-LN($C$4:$C$6))/$B$9))</f>
        <v/>
      </c>
    </row>
    <row r="50">
      <c r="A50" s="9">
        <f>IF(C49&gt;0.5,SQRT(A49*B49),A49)</f>
        <v/>
      </c>
      <c r="B50" s="9">
        <f>IF(C49&gt;0.5,B49,SQRT(A49*B49))</f>
        <v/>
      </c>
      <c r="C50" s="45">
        <f>SUMPRODUCT($B$4:$B$6,1-NORMSDIST((LN(SQRT(A50*B50))-LN($C$4:$C$6))/$B$9))</f>
        <v/>
      </c>
      <c r="D50" s="9">
        <f>IF(F49&gt;0.9,SQRT(D49*E49),D49)</f>
        <v/>
      </c>
      <c r="E50" s="9">
        <f>IF(F49&gt;0.9,E49,SQRT(D49*E49))</f>
        <v/>
      </c>
      <c r="F50" s="45">
        <f>SUMPRODUCT($B$4:$B$6,1-NORMSDIST((LN(SQRT(D50*E50))-LN($C$4:$C$6))/$B$9))</f>
        <v/>
      </c>
      <c r="G50" s="9">
        <f>IF(I49&gt;0.75,SQRT(G49*H49),G49)</f>
        <v/>
      </c>
      <c r="H50" s="9">
        <f>IF(I49&gt;0.75,H49,SQRT(G49*H49))</f>
        <v/>
      </c>
      <c r="I50" s="45">
        <f>SUMPRODUCT($B$4:$B$6,1-NORMSDIST((LN(SQRT(G50*H50))-LN($C$4:$C$6))/$B$9))</f>
        <v/>
      </c>
      <c r="J50" s="9">
        <f>IF(L49&gt;0.25,SQRT(J49*K49),J49)</f>
        <v/>
      </c>
      <c r="K50" s="9">
        <f>IF(L49&gt;0.25,K49,SQRT(J49*K49))</f>
        <v/>
      </c>
      <c r="L50" s="45">
        <f>SUMPRODUCT($B$4:$B$6,1-NORMSDIST((LN(SQRT(J50*K50))-LN($C$4:$C$6))/$B$9))</f>
        <v/>
      </c>
      <c r="M50" s="9">
        <f>IF(O49&gt;0.09999999999999998,SQRT(M49*N49),M49)</f>
        <v/>
      </c>
      <c r="N50" s="9">
        <f>IF(O49&gt;0.09999999999999998,N49,SQRT(M49*N49))</f>
        <v/>
      </c>
      <c r="O50" s="45">
        <f>SUMPRODUCT($B$4:$B$6,1-NORMSDIST((LN(SQRT(M50*N50))-LN($C$4:$C$6))/$B$9))</f>
        <v/>
      </c>
    </row>
    <row r="51">
      <c r="A51" s="9">
        <f>IF(C50&gt;0.5,SQRT(A50*B50),A50)</f>
        <v/>
      </c>
      <c r="B51" s="9">
        <f>IF(C50&gt;0.5,B50,SQRT(A50*B50))</f>
        <v/>
      </c>
      <c r="C51" s="45">
        <f>SUMPRODUCT($B$4:$B$6,1-NORMSDIST((LN(SQRT(A51*B51))-LN($C$4:$C$6))/$B$9))</f>
        <v/>
      </c>
      <c r="D51" s="9">
        <f>IF(F50&gt;0.9,SQRT(D50*E50),D50)</f>
        <v/>
      </c>
      <c r="E51" s="9">
        <f>IF(F50&gt;0.9,E50,SQRT(D50*E50))</f>
        <v/>
      </c>
      <c r="F51" s="45">
        <f>SUMPRODUCT($B$4:$B$6,1-NORMSDIST((LN(SQRT(D51*E51))-LN($C$4:$C$6))/$B$9))</f>
        <v/>
      </c>
      <c r="G51" s="9">
        <f>IF(I50&gt;0.75,SQRT(G50*H50),G50)</f>
        <v/>
      </c>
      <c r="H51" s="9">
        <f>IF(I50&gt;0.75,H50,SQRT(G50*H50))</f>
        <v/>
      </c>
      <c r="I51" s="45">
        <f>SUMPRODUCT($B$4:$B$6,1-NORMSDIST((LN(SQRT(G51*H51))-LN($C$4:$C$6))/$B$9))</f>
        <v/>
      </c>
      <c r="J51" s="9">
        <f>IF(L50&gt;0.25,SQRT(J50*K50),J50)</f>
        <v/>
      </c>
      <c r="K51" s="9">
        <f>IF(L50&gt;0.25,K50,SQRT(J50*K50))</f>
        <v/>
      </c>
      <c r="L51" s="45">
        <f>SUMPRODUCT($B$4:$B$6,1-NORMSDIST((LN(SQRT(J51*K51))-LN($C$4:$C$6))/$B$9))</f>
        <v/>
      </c>
      <c r="M51" s="9">
        <f>IF(O50&gt;0.09999999999999998,SQRT(M50*N50),M50)</f>
        <v/>
      </c>
      <c r="N51" s="9">
        <f>IF(O50&gt;0.09999999999999998,N50,SQRT(M50*N50))</f>
        <v/>
      </c>
      <c r="O51" s="45">
        <f>SUMPRODUCT($B$4:$B$6,1-NORMSDIST((LN(SQRT(M51*N51))-LN($C$4:$C$6))/$B$9))</f>
        <v/>
      </c>
    </row>
    <row r="52">
      <c r="A52" s="9">
        <f>IF(C51&gt;0.5,SQRT(A51*B51),A51)</f>
        <v/>
      </c>
      <c r="B52" s="9">
        <f>IF(C51&gt;0.5,B51,SQRT(A51*B51))</f>
        <v/>
      </c>
      <c r="C52" s="45">
        <f>SUMPRODUCT($B$4:$B$6,1-NORMSDIST((LN(SQRT(A52*B52))-LN($C$4:$C$6))/$B$9))</f>
        <v/>
      </c>
      <c r="D52" s="9">
        <f>IF(F51&gt;0.9,SQRT(D51*E51),D51)</f>
        <v/>
      </c>
      <c r="E52" s="9">
        <f>IF(F51&gt;0.9,E51,SQRT(D51*E51))</f>
        <v/>
      </c>
      <c r="F52" s="45">
        <f>SUMPRODUCT($B$4:$B$6,1-NORMSDIST((LN(SQRT(D52*E52))-LN($C$4:$C$6))/$B$9))</f>
        <v/>
      </c>
      <c r="G52" s="9">
        <f>IF(I51&gt;0.75,SQRT(G51*H51),G51)</f>
        <v/>
      </c>
      <c r="H52" s="9">
        <f>IF(I51&gt;0.75,H51,SQRT(G51*H51))</f>
        <v/>
      </c>
      <c r="I52" s="45">
        <f>SUMPRODUCT($B$4:$B$6,1-NORMSDIST((LN(SQRT(G52*H52))-LN($C$4:$C$6))/$B$9))</f>
        <v/>
      </c>
      <c r="J52" s="9">
        <f>IF(L51&gt;0.25,SQRT(J51*K51),J51)</f>
        <v/>
      </c>
      <c r="K52" s="9">
        <f>IF(L51&gt;0.25,K51,SQRT(J51*K51))</f>
        <v/>
      </c>
      <c r="L52" s="45">
        <f>SUMPRODUCT($B$4:$B$6,1-NORMSDIST((LN(SQRT(J52*K52))-LN($C$4:$C$6))/$B$9))</f>
        <v/>
      </c>
      <c r="M52" s="9">
        <f>IF(O51&gt;0.09999999999999998,SQRT(M51*N51),M51)</f>
        <v/>
      </c>
      <c r="N52" s="9">
        <f>IF(O51&gt;0.09999999999999998,N51,SQRT(M51*N51))</f>
        <v/>
      </c>
      <c r="O52" s="45">
        <f>SUMPRODUCT($B$4:$B$6,1-NORMSDIST((LN(SQRT(M52*N52))-LN($C$4:$C$6))/$B$9))</f>
        <v/>
      </c>
    </row>
    <row r="53">
      <c r="A53" s="9">
        <f>IF(C52&gt;0.5,SQRT(A52*B52),A52)</f>
        <v/>
      </c>
      <c r="B53" s="9">
        <f>IF(C52&gt;0.5,B52,SQRT(A52*B52))</f>
        <v/>
      </c>
      <c r="C53" s="45">
        <f>SUMPRODUCT($B$4:$B$6,1-NORMSDIST((LN(SQRT(A53*B53))-LN($C$4:$C$6))/$B$9))</f>
        <v/>
      </c>
      <c r="D53" s="9">
        <f>IF(F52&gt;0.9,SQRT(D52*E52),D52)</f>
        <v/>
      </c>
      <c r="E53" s="9">
        <f>IF(F52&gt;0.9,E52,SQRT(D52*E52))</f>
        <v/>
      </c>
      <c r="F53" s="45">
        <f>SUMPRODUCT($B$4:$B$6,1-NORMSDIST((LN(SQRT(D53*E53))-LN($C$4:$C$6))/$B$9))</f>
        <v/>
      </c>
      <c r="G53" s="9">
        <f>IF(I52&gt;0.75,SQRT(G52*H52),G52)</f>
        <v/>
      </c>
      <c r="H53" s="9">
        <f>IF(I52&gt;0.75,H52,SQRT(G52*H52))</f>
        <v/>
      </c>
      <c r="I53" s="45">
        <f>SUMPRODUCT($B$4:$B$6,1-NORMSDIST((LN(SQRT(G53*H53))-LN($C$4:$C$6))/$B$9))</f>
        <v/>
      </c>
      <c r="J53" s="9">
        <f>IF(L52&gt;0.25,SQRT(J52*K52),J52)</f>
        <v/>
      </c>
      <c r="K53" s="9">
        <f>IF(L52&gt;0.25,K52,SQRT(J52*K52))</f>
        <v/>
      </c>
      <c r="L53" s="45">
        <f>SUMPRODUCT($B$4:$B$6,1-NORMSDIST((LN(SQRT(J53*K53))-LN($C$4:$C$6))/$B$9))</f>
        <v/>
      </c>
      <c r="M53" s="9">
        <f>IF(O52&gt;0.09999999999999998,SQRT(M52*N52),M52)</f>
        <v/>
      </c>
      <c r="N53" s="9">
        <f>IF(O52&gt;0.09999999999999998,N52,SQRT(M52*N52))</f>
        <v/>
      </c>
      <c r="O53" s="45">
        <f>SUMPRODUCT($B$4:$B$6,1-NORMSDIST((LN(SQRT(M53*N53))-LN($C$4:$C$6))/$B$9))</f>
        <v/>
      </c>
    </row>
    <row r="54">
      <c r="A54" s="9">
        <f>IF(C53&gt;0.5,SQRT(A53*B53),A53)</f>
        <v/>
      </c>
      <c r="B54" s="9">
        <f>IF(C53&gt;0.5,B53,SQRT(A53*B53))</f>
        <v/>
      </c>
      <c r="C54" s="45">
        <f>SUMPRODUCT($B$4:$B$6,1-NORMSDIST((LN(SQRT(A54*B54))-LN($C$4:$C$6))/$B$9))</f>
        <v/>
      </c>
      <c r="D54" s="9">
        <f>IF(F53&gt;0.9,SQRT(D53*E53),D53)</f>
        <v/>
      </c>
      <c r="E54" s="9">
        <f>IF(F53&gt;0.9,E53,SQRT(D53*E53))</f>
        <v/>
      </c>
      <c r="F54" s="45">
        <f>SUMPRODUCT($B$4:$B$6,1-NORMSDIST((LN(SQRT(D54*E54))-LN($C$4:$C$6))/$B$9))</f>
        <v/>
      </c>
      <c r="G54" s="9">
        <f>IF(I53&gt;0.75,SQRT(G53*H53),G53)</f>
        <v/>
      </c>
      <c r="H54" s="9">
        <f>IF(I53&gt;0.75,H53,SQRT(G53*H53))</f>
        <v/>
      </c>
      <c r="I54" s="45">
        <f>SUMPRODUCT($B$4:$B$6,1-NORMSDIST((LN(SQRT(G54*H54))-LN($C$4:$C$6))/$B$9))</f>
        <v/>
      </c>
      <c r="J54" s="9">
        <f>IF(L53&gt;0.25,SQRT(J53*K53),J53)</f>
        <v/>
      </c>
      <c r="K54" s="9">
        <f>IF(L53&gt;0.25,K53,SQRT(J53*K53))</f>
        <v/>
      </c>
      <c r="L54" s="45">
        <f>SUMPRODUCT($B$4:$B$6,1-NORMSDIST((LN(SQRT(J54*K54))-LN($C$4:$C$6))/$B$9))</f>
        <v/>
      </c>
      <c r="M54" s="9">
        <f>IF(O53&gt;0.09999999999999998,SQRT(M53*N53),M53)</f>
        <v/>
      </c>
      <c r="N54" s="9">
        <f>IF(O53&gt;0.09999999999999998,N53,SQRT(M53*N53))</f>
        <v/>
      </c>
      <c r="O54" s="45">
        <f>SUMPRODUCT($B$4:$B$6,1-NORMSDIST((LN(SQRT(M54*N54))-LN($C$4:$C$6))/$B$9))</f>
        <v/>
      </c>
    </row>
    <row r="55">
      <c r="A55" s="9">
        <f>IF(C54&gt;0.5,SQRT(A54*B54),A54)</f>
        <v/>
      </c>
      <c r="B55" s="9">
        <f>IF(C54&gt;0.5,B54,SQRT(A54*B54))</f>
        <v/>
      </c>
      <c r="C55" s="45">
        <f>SUMPRODUCT($B$4:$B$6,1-NORMSDIST((LN(SQRT(A55*B55))-LN($C$4:$C$6))/$B$9))</f>
        <v/>
      </c>
      <c r="D55" s="9">
        <f>IF(F54&gt;0.9,SQRT(D54*E54),D54)</f>
        <v/>
      </c>
      <c r="E55" s="9">
        <f>IF(F54&gt;0.9,E54,SQRT(D54*E54))</f>
        <v/>
      </c>
      <c r="F55" s="45">
        <f>SUMPRODUCT($B$4:$B$6,1-NORMSDIST((LN(SQRT(D55*E55))-LN($C$4:$C$6))/$B$9))</f>
        <v/>
      </c>
      <c r="G55" s="9">
        <f>IF(I54&gt;0.75,SQRT(G54*H54),G54)</f>
        <v/>
      </c>
      <c r="H55" s="9">
        <f>IF(I54&gt;0.75,H54,SQRT(G54*H54))</f>
        <v/>
      </c>
      <c r="I55" s="45">
        <f>SUMPRODUCT($B$4:$B$6,1-NORMSDIST((LN(SQRT(G55*H55))-LN($C$4:$C$6))/$B$9))</f>
        <v/>
      </c>
      <c r="J55" s="9">
        <f>IF(L54&gt;0.25,SQRT(J54*K54),J54)</f>
        <v/>
      </c>
      <c r="K55" s="9">
        <f>IF(L54&gt;0.25,K54,SQRT(J54*K54))</f>
        <v/>
      </c>
      <c r="L55" s="45">
        <f>SUMPRODUCT($B$4:$B$6,1-NORMSDIST((LN(SQRT(J55*K55))-LN($C$4:$C$6))/$B$9))</f>
        <v/>
      </c>
      <c r="M55" s="9">
        <f>IF(O54&gt;0.09999999999999998,SQRT(M54*N54),M54)</f>
        <v/>
      </c>
      <c r="N55" s="9">
        <f>IF(O54&gt;0.09999999999999998,N54,SQRT(M54*N54))</f>
        <v/>
      </c>
      <c r="O55" s="45">
        <f>SUMPRODUCT($B$4:$B$6,1-NORMSDIST((LN(SQRT(M55*N55))-LN($C$4:$C$6))/$B$9))</f>
        <v/>
      </c>
    </row>
    <row r="56">
      <c r="A56" s="9">
        <f>IF(C55&gt;0.5,SQRT(A55*B55),A55)</f>
        <v/>
      </c>
      <c r="B56" s="9">
        <f>IF(C55&gt;0.5,B55,SQRT(A55*B55))</f>
        <v/>
      </c>
      <c r="C56" s="45">
        <f>SUMPRODUCT($B$4:$B$6,1-NORMSDIST((LN(SQRT(A56*B56))-LN($C$4:$C$6))/$B$9))</f>
        <v/>
      </c>
      <c r="D56" s="9">
        <f>IF(F55&gt;0.9,SQRT(D55*E55),D55)</f>
        <v/>
      </c>
      <c r="E56" s="9">
        <f>IF(F55&gt;0.9,E55,SQRT(D55*E55))</f>
        <v/>
      </c>
      <c r="F56" s="45">
        <f>SUMPRODUCT($B$4:$B$6,1-NORMSDIST((LN(SQRT(D56*E56))-LN($C$4:$C$6))/$B$9))</f>
        <v/>
      </c>
      <c r="G56" s="9">
        <f>IF(I55&gt;0.75,SQRT(G55*H55),G55)</f>
        <v/>
      </c>
      <c r="H56" s="9">
        <f>IF(I55&gt;0.75,H55,SQRT(G55*H55))</f>
        <v/>
      </c>
      <c r="I56" s="45">
        <f>SUMPRODUCT($B$4:$B$6,1-NORMSDIST((LN(SQRT(G56*H56))-LN($C$4:$C$6))/$B$9))</f>
        <v/>
      </c>
      <c r="J56" s="9">
        <f>IF(L55&gt;0.25,SQRT(J55*K55),J55)</f>
        <v/>
      </c>
      <c r="K56" s="9">
        <f>IF(L55&gt;0.25,K55,SQRT(J55*K55))</f>
        <v/>
      </c>
      <c r="L56" s="45">
        <f>SUMPRODUCT($B$4:$B$6,1-NORMSDIST((LN(SQRT(J56*K56))-LN($C$4:$C$6))/$B$9))</f>
        <v/>
      </c>
      <c r="M56" s="9">
        <f>IF(O55&gt;0.09999999999999998,SQRT(M55*N55),M55)</f>
        <v/>
      </c>
      <c r="N56" s="9">
        <f>IF(O55&gt;0.09999999999999998,N55,SQRT(M55*N55))</f>
        <v/>
      </c>
      <c r="O56" s="45">
        <f>SUMPRODUCT($B$4:$B$6,1-NORMSDIST((LN(SQRT(M56*N56))-LN($C$4:$C$6))/$B$9))</f>
        <v/>
      </c>
    </row>
    <row r="57">
      <c r="A57" s="9">
        <f>IF(C56&gt;0.5,SQRT(A56*B56),A56)</f>
        <v/>
      </c>
      <c r="B57" s="9">
        <f>IF(C56&gt;0.5,B56,SQRT(A56*B56))</f>
        <v/>
      </c>
      <c r="C57" s="45">
        <f>SUMPRODUCT($B$4:$B$6,1-NORMSDIST((LN(SQRT(A57*B57))-LN($C$4:$C$6))/$B$9))</f>
        <v/>
      </c>
      <c r="D57" s="9">
        <f>IF(F56&gt;0.9,SQRT(D56*E56),D56)</f>
        <v/>
      </c>
      <c r="E57" s="9">
        <f>IF(F56&gt;0.9,E56,SQRT(D56*E56))</f>
        <v/>
      </c>
      <c r="F57" s="45">
        <f>SUMPRODUCT($B$4:$B$6,1-NORMSDIST((LN(SQRT(D57*E57))-LN($C$4:$C$6))/$B$9))</f>
        <v/>
      </c>
      <c r="G57" s="9">
        <f>IF(I56&gt;0.75,SQRT(G56*H56),G56)</f>
        <v/>
      </c>
      <c r="H57" s="9">
        <f>IF(I56&gt;0.75,H56,SQRT(G56*H56))</f>
        <v/>
      </c>
      <c r="I57" s="45">
        <f>SUMPRODUCT($B$4:$B$6,1-NORMSDIST((LN(SQRT(G57*H57))-LN($C$4:$C$6))/$B$9))</f>
        <v/>
      </c>
      <c r="J57" s="9">
        <f>IF(L56&gt;0.25,SQRT(J56*K56),J56)</f>
        <v/>
      </c>
      <c r="K57" s="9">
        <f>IF(L56&gt;0.25,K56,SQRT(J56*K56))</f>
        <v/>
      </c>
      <c r="L57" s="45">
        <f>SUMPRODUCT($B$4:$B$6,1-NORMSDIST((LN(SQRT(J57*K57))-LN($C$4:$C$6))/$B$9))</f>
        <v/>
      </c>
      <c r="M57" s="9">
        <f>IF(O56&gt;0.09999999999999998,SQRT(M56*N56),M56)</f>
        <v/>
      </c>
      <c r="N57" s="9">
        <f>IF(O56&gt;0.09999999999999998,N56,SQRT(M56*N56))</f>
        <v/>
      </c>
      <c r="O57" s="45">
        <f>SUMPRODUCT($B$4:$B$6,1-NORMSDIST((LN(SQRT(M57*N57))-LN($C$4:$C$6))/$B$9))</f>
        <v/>
      </c>
    </row>
    <row r="58">
      <c r="A58" s="9">
        <f>IF(C57&gt;0.5,SQRT(A57*B57),A57)</f>
        <v/>
      </c>
      <c r="B58" s="9">
        <f>IF(C57&gt;0.5,B57,SQRT(A57*B57))</f>
        <v/>
      </c>
      <c r="C58" s="45">
        <f>SUMPRODUCT($B$4:$B$6,1-NORMSDIST((LN(SQRT(A58*B58))-LN($C$4:$C$6))/$B$9))</f>
        <v/>
      </c>
      <c r="D58" s="9">
        <f>IF(F57&gt;0.9,SQRT(D57*E57),D57)</f>
        <v/>
      </c>
      <c r="E58" s="9">
        <f>IF(F57&gt;0.9,E57,SQRT(D57*E57))</f>
        <v/>
      </c>
      <c r="F58" s="45">
        <f>SUMPRODUCT($B$4:$B$6,1-NORMSDIST((LN(SQRT(D58*E58))-LN($C$4:$C$6))/$B$9))</f>
        <v/>
      </c>
      <c r="G58" s="9">
        <f>IF(I57&gt;0.75,SQRT(G57*H57),G57)</f>
        <v/>
      </c>
      <c r="H58" s="9">
        <f>IF(I57&gt;0.75,H57,SQRT(G57*H57))</f>
        <v/>
      </c>
      <c r="I58" s="45">
        <f>SUMPRODUCT($B$4:$B$6,1-NORMSDIST((LN(SQRT(G58*H58))-LN($C$4:$C$6))/$B$9))</f>
        <v/>
      </c>
      <c r="J58" s="9">
        <f>IF(L57&gt;0.25,SQRT(J57*K57),J57)</f>
        <v/>
      </c>
      <c r="K58" s="9">
        <f>IF(L57&gt;0.25,K57,SQRT(J57*K57))</f>
        <v/>
      </c>
      <c r="L58" s="45">
        <f>SUMPRODUCT($B$4:$B$6,1-NORMSDIST((LN(SQRT(J58*K58))-LN($C$4:$C$6))/$B$9))</f>
        <v/>
      </c>
      <c r="M58" s="9">
        <f>IF(O57&gt;0.09999999999999998,SQRT(M57*N57),M57)</f>
        <v/>
      </c>
      <c r="N58" s="9">
        <f>IF(O57&gt;0.09999999999999998,N57,SQRT(M57*N57))</f>
        <v/>
      </c>
      <c r="O58" s="45">
        <f>SUMPRODUCT($B$4:$B$6,1-NORMSDIST((LN(SQRT(M58*N58))-LN($C$4:$C$6))/$B$9))</f>
        <v/>
      </c>
    </row>
    <row r="59">
      <c r="A59" s="9">
        <f>IF(C58&gt;0.5,SQRT(A58*B58),A58)</f>
        <v/>
      </c>
      <c r="B59" s="9">
        <f>IF(C58&gt;0.5,B58,SQRT(A58*B58))</f>
        <v/>
      </c>
      <c r="C59" s="45">
        <f>SUMPRODUCT($B$4:$B$6,1-NORMSDIST((LN(SQRT(A59*B59))-LN($C$4:$C$6))/$B$9))</f>
        <v/>
      </c>
      <c r="D59" s="9">
        <f>IF(F58&gt;0.9,SQRT(D58*E58),D58)</f>
        <v/>
      </c>
      <c r="E59" s="9">
        <f>IF(F58&gt;0.9,E58,SQRT(D58*E58))</f>
        <v/>
      </c>
      <c r="F59" s="45">
        <f>SUMPRODUCT($B$4:$B$6,1-NORMSDIST((LN(SQRT(D59*E59))-LN($C$4:$C$6))/$B$9))</f>
        <v/>
      </c>
      <c r="G59" s="9">
        <f>IF(I58&gt;0.75,SQRT(G58*H58),G58)</f>
        <v/>
      </c>
      <c r="H59" s="9">
        <f>IF(I58&gt;0.75,H58,SQRT(G58*H58))</f>
        <v/>
      </c>
      <c r="I59" s="45">
        <f>SUMPRODUCT($B$4:$B$6,1-NORMSDIST((LN(SQRT(G59*H59))-LN($C$4:$C$6))/$B$9))</f>
        <v/>
      </c>
      <c r="J59" s="9">
        <f>IF(L58&gt;0.25,SQRT(J58*K58),J58)</f>
        <v/>
      </c>
      <c r="K59" s="9">
        <f>IF(L58&gt;0.25,K58,SQRT(J58*K58))</f>
        <v/>
      </c>
      <c r="L59" s="45">
        <f>SUMPRODUCT($B$4:$B$6,1-NORMSDIST((LN(SQRT(J59*K59))-LN($C$4:$C$6))/$B$9))</f>
        <v/>
      </c>
      <c r="M59" s="9">
        <f>IF(O58&gt;0.09999999999999998,SQRT(M58*N58),M58)</f>
        <v/>
      </c>
      <c r="N59" s="9">
        <f>IF(O58&gt;0.09999999999999998,N58,SQRT(M58*N58))</f>
        <v/>
      </c>
      <c r="O59" s="45">
        <f>SUMPRODUCT($B$4:$B$6,1-NORMSDIST((LN(SQRT(M59*N59))-LN($C$4:$C$6))/$B$9))</f>
        <v/>
      </c>
    </row>
    <row r="60">
      <c r="A60" s="9">
        <f>IF(C59&gt;0.5,SQRT(A59*B59),A59)</f>
        <v/>
      </c>
      <c r="B60" s="9">
        <f>IF(C59&gt;0.5,B59,SQRT(A59*B59))</f>
        <v/>
      </c>
      <c r="C60" s="45">
        <f>SUMPRODUCT($B$4:$B$6,1-NORMSDIST((LN(SQRT(A60*B60))-LN($C$4:$C$6))/$B$9))</f>
        <v/>
      </c>
      <c r="D60" s="9">
        <f>IF(F59&gt;0.9,SQRT(D59*E59),D59)</f>
        <v/>
      </c>
      <c r="E60" s="9">
        <f>IF(F59&gt;0.9,E59,SQRT(D59*E59))</f>
        <v/>
      </c>
      <c r="F60" s="45">
        <f>SUMPRODUCT($B$4:$B$6,1-NORMSDIST((LN(SQRT(D60*E60))-LN($C$4:$C$6))/$B$9))</f>
        <v/>
      </c>
      <c r="G60" s="9">
        <f>IF(I59&gt;0.75,SQRT(G59*H59),G59)</f>
        <v/>
      </c>
      <c r="H60" s="9">
        <f>IF(I59&gt;0.75,H59,SQRT(G59*H59))</f>
        <v/>
      </c>
      <c r="I60" s="45">
        <f>SUMPRODUCT($B$4:$B$6,1-NORMSDIST((LN(SQRT(G60*H60))-LN($C$4:$C$6))/$B$9))</f>
        <v/>
      </c>
      <c r="J60" s="9">
        <f>IF(L59&gt;0.25,SQRT(J59*K59),J59)</f>
        <v/>
      </c>
      <c r="K60" s="9">
        <f>IF(L59&gt;0.25,K59,SQRT(J59*K59))</f>
        <v/>
      </c>
      <c r="L60" s="45">
        <f>SUMPRODUCT($B$4:$B$6,1-NORMSDIST((LN(SQRT(J60*K60))-LN($C$4:$C$6))/$B$9))</f>
        <v/>
      </c>
      <c r="M60" s="9">
        <f>IF(O59&gt;0.09999999999999998,SQRT(M59*N59),M59)</f>
        <v/>
      </c>
      <c r="N60" s="9">
        <f>IF(O59&gt;0.09999999999999998,N59,SQRT(M59*N59))</f>
        <v/>
      </c>
      <c r="O60" s="45">
        <f>SUMPRODUCT($B$4:$B$6,1-NORMSDIST((LN(SQRT(M60*N60))-LN($C$4:$C$6))/$B$9))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0"/>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BKNG engine calculation: research target (12m) (reconciled set, no scenario deltas)</t>
        </is>
      </c>
    </row>
    <row r="2">
      <c r="A2" s="2" t="inlineStr">
        <is>
          <t>Machinery behind the Valuation and Distribution tabs; drivers come from Model, assumptions from Valuation.</t>
        </is>
      </c>
    </row>
    <row r="4">
      <c r="A4" t="inlineStr">
        <is>
          <t>Scenario Growth Δ</t>
        </is>
      </c>
      <c r="B4" s="20" t="n">
        <v>0</v>
      </c>
    </row>
    <row r="5">
      <c r="A5" t="inlineStr">
        <is>
          <t>Scenario Margin Δ</t>
        </is>
      </c>
      <c r="B5" s="20" t="n">
        <v>0</v>
      </c>
    </row>
    <row r="6">
      <c r="A6" t="inlineStr">
        <is>
          <t>Scenario Multiple Δ (turns)</t>
        </is>
      </c>
      <c r="B6" s="46" t="n">
        <v>0</v>
      </c>
    </row>
    <row r="7">
      <c r="A7" t="inlineStr">
        <is>
          <t>Scenario WACC Δ</t>
        </is>
      </c>
      <c r="B7" s="20" t="n">
        <v>0</v>
      </c>
    </row>
    <row r="8">
      <c r="A8" t="inlineStr">
        <is>
          <t>Scenario Multiple %Δ</t>
        </is>
      </c>
      <c r="B8" s="20" t="n">
        <v>0</v>
      </c>
    </row>
    <row r="9">
      <c r="A9" t="inlineStr">
        <is>
          <t>Scenario Stated EPS/FCF %Δ</t>
        </is>
      </c>
      <c r="B9" s="20" t="n">
        <v>0</v>
      </c>
    </row>
    <row r="10">
      <c r="A10" t="inlineStr">
        <is>
          <t>Scenario Custom %Δ</t>
        </is>
      </c>
      <c r="B10" s="20" t="n">
        <v>0</v>
      </c>
    </row>
    <row r="12">
      <c r="A12" t="inlineStr">
        <is>
          <t>WACC</t>
        </is>
      </c>
      <c r="B12" s="20">
        <f>Valuation!$B$51+B7</f>
        <v/>
      </c>
    </row>
    <row r="13">
      <c r="A13" t="inlineStr">
        <is>
          <t>Years from last FY end to target date</t>
        </is>
      </c>
      <c r="B13" s="47">
        <f>(Valuation!$B$45-Valuation!$B$49)/365.25</f>
        <v/>
      </c>
    </row>
    <row r="14">
      <c r="A14" t="inlineStr">
        <is>
          <t>Years from last FY end to balance date</t>
        </is>
      </c>
      <c r="B14" s="47">
        <f>(Valuation!$B$55-Valuation!$B$49)/365.25</f>
        <v/>
      </c>
    </row>
    <row r="15">
      <c r="A15" t="inlineStr">
        <is>
          <t>Years from last FY end to share count date</t>
        </is>
      </c>
      <c r="B15" s="47">
        <f>(Valuation!$B$61-Valuation!$B$49)/365.25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2">
        <f>Valuation!$B$49+ROUND(365.25*C19,0)</f>
        <v/>
      </c>
      <c r="D20" s="22">
        <f>Valuation!$B$49+ROUND(365.25*D19,0)</f>
        <v/>
      </c>
      <c r="E20" s="22">
        <f>Valuation!$B$49+ROUND(365.25*E19,0)</f>
        <v/>
      </c>
    </row>
    <row r="21">
      <c r="A21" t="inlineStr">
        <is>
          <t>Revenue growth</t>
        </is>
      </c>
      <c r="C21" s="20">
        <f>Model!E48+$B$4</f>
        <v/>
      </c>
      <c r="D21" s="20">
        <f>Model!F48+$B$4</f>
        <v/>
      </c>
      <c r="E21" s="20">
        <f>Model!G48+$B$4</f>
        <v/>
      </c>
    </row>
    <row r="22">
      <c r="A22" t="inlineStr">
        <is>
          <t>Revenue</t>
        </is>
      </c>
      <c r="B22" s="25">
        <f>Valuation!$B$50</f>
        <v/>
      </c>
      <c r="C22" s="25">
        <f>B22*(1+C21)</f>
        <v/>
      </c>
      <c r="D22" s="25">
        <f>C22*(1+D21)</f>
        <v/>
      </c>
      <c r="E22" s="25">
        <f>D22*(1+E21)</f>
        <v/>
      </c>
    </row>
    <row r="23">
      <c r="A23" t="inlineStr">
        <is>
          <t>EBIT margin</t>
        </is>
      </c>
      <c r="C23" s="20">
        <f>Model!E49+$B$5</f>
        <v/>
      </c>
      <c r="D23" s="20">
        <f>Model!F49+$B$5</f>
        <v/>
      </c>
      <c r="E23" s="20">
        <f>Model!G49+$B$5</f>
        <v/>
      </c>
    </row>
    <row r="24">
      <c r="A24" t="inlineStr">
        <is>
          <t>EBIT</t>
        </is>
      </c>
      <c r="C24" s="25">
        <f>C22*C23</f>
        <v/>
      </c>
      <c r="D24" s="25">
        <f>D22*D23</f>
        <v/>
      </c>
      <c r="E24" s="25">
        <f>E22*E23</f>
        <v/>
      </c>
    </row>
    <row r="25">
      <c r="A25" t="inlineStr">
        <is>
          <t>Tax rate</t>
        </is>
      </c>
      <c r="C25" s="20">
        <f>Model!E50</f>
        <v/>
      </c>
      <c r="D25" s="20">
        <f>Model!F50</f>
        <v/>
      </c>
      <c r="E25" s="20">
        <f>Model!G50</f>
        <v/>
      </c>
    </row>
    <row r="26">
      <c r="A26" t="inlineStr">
        <is>
          <t>NOPAT</t>
        </is>
      </c>
      <c r="C26" s="25">
        <f>C24*(1-C25)</f>
        <v/>
      </c>
      <c r="D26" s="25">
        <f>D24*(1-D25)</f>
        <v/>
      </c>
      <c r="E26" s="25">
        <f>E24*(1-E25)</f>
        <v/>
      </c>
    </row>
    <row r="27">
      <c r="A27" t="inlineStr">
        <is>
          <t>D&amp;A</t>
        </is>
      </c>
      <c r="C27" s="25">
        <f>C22*(Model!E51)</f>
        <v/>
      </c>
      <c r="D27" s="25">
        <f>D22*(Model!F51)</f>
        <v/>
      </c>
      <c r="E27" s="25">
        <f>E22*(Model!G51)</f>
        <v/>
      </c>
    </row>
    <row r="28">
      <c r="A28" t="inlineStr">
        <is>
          <t>Capex</t>
        </is>
      </c>
      <c r="C28" s="25">
        <f>C22*(Model!E52)</f>
        <v/>
      </c>
      <c r="D28" s="25">
        <f>D22*(Model!F52)</f>
        <v/>
      </c>
      <c r="E28" s="25">
        <f>E22*(Model!G52)</f>
        <v/>
      </c>
    </row>
    <row r="29">
      <c r="A29" t="inlineStr">
        <is>
          <t>Working capital increase</t>
        </is>
      </c>
      <c r="C29" s="25">
        <f>(Model!E53)*(C22-B22)</f>
        <v/>
      </c>
      <c r="D29" s="25">
        <f>(Model!F53)*(D22-C22)</f>
        <v/>
      </c>
      <c r="E29" s="25">
        <f>(Model!G53)*(E22-D22)</f>
        <v/>
      </c>
    </row>
    <row r="30">
      <c r="A30" t="inlineStr">
        <is>
          <t>Stock comp</t>
        </is>
      </c>
      <c r="C30" s="25">
        <f>C22*(Model!E54)</f>
        <v/>
      </c>
      <c r="D30" s="25">
        <f>D22*(Model!F54)</f>
        <v/>
      </c>
      <c r="E30" s="25">
        <f>E22*(Model!G54)</f>
        <v/>
      </c>
    </row>
    <row r="31">
      <c r="A31" t="inlineStr">
        <is>
          <t>Free cash flow to firm</t>
        </is>
      </c>
      <c r="C31" s="25">
        <f>C26+C27-C28-C29-IF(AND(Valuation!$B$47="adjusted",Valuation!$B$48="cost"),C30*(1-C25),0)</f>
        <v/>
      </c>
      <c r="D31" s="25">
        <f>D26+D27-D28-D29-IF(AND(Valuation!$B$47="adjusted",Valuation!$B$48="cost"),D30*(1-D25),0)</f>
        <v/>
      </c>
      <c r="E31" s="25">
        <f>E26+E27-E28-E29-IF(AND(Valuation!$B$47="adjusted",Valuation!$B$48="cost"),E30*(1-E25),0)</f>
        <v/>
      </c>
    </row>
    <row r="32">
      <c r="A32" t="inlineStr">
        <is>
          <t>EBITDA</t>
        </is>
      </c>
      <c r="C32" s="25">
        <f>C24+C27</f>
        <v/>
      </c>
      <c r="D32" s="25">
        <f>D24+D27</f>
        <v/>
      </c>
      <c r="E32" s="25">
        <f>E24+E27</f>
        <v/>
      </c>
    </row>
    <row r="33">
      <c r="A33" t="inlineStr">
        <is>
          <t>Adj. EBITDA</t>
        </is>
      </c>
      <c r="C33" s="25">
        <f>C24+C27+C22*(Model!E58)</f>
        <v/>
      </c>
      <c r="D33" s="25">
        <f>D24+D27+D22*(Model!F58)</f>
        <v/>
      </c>
      <c r="E33" s="25">
        <f>E24+E27+E22*(Model!G58)</f>
        <v/>
      </c>
    </row>
    <row r="34">
      <c r="A34" t="inlineStr">
        <is>
          <t>Shareholder returns + other uses</t>
        </is>
      </c>
      <c r="C34" s="25">
        <f>C22*Model!E56+Model!E55+Model!E57</f>
        <v/>
      </c>
      <c r="D34" s="25">
        <f>D22*Model!F56+Model!F55+Model!F57</f>
        <v/>
      </c>
      <c r="E34" s="25">
        <f>E22*Model!G56+Model!G55+Model!G57</f>
        <v/>
      </c>
    </row>
    <row r="35">
      <c r="A35" t="inlineStr">
        <is>
          <t>Share of year after target date</t>
        </is>
      </c>
      <c r="C35" s="47">
        <f>IF(C19&lt;=$B$13,0,C19-MAX(C19-1,$B$13))</f>
        <v/>
      </c>
      <c r="D35" s="47">
        <f>IF(D19&lt;=$B$13,0,D19-MAX(D19-1,$B$13))</f>
        <v/>
      </c>
      <c r="E35" s="47">
        <f>IF(E19&lt;=$B$13,0,E19-MAX(E19-1,$B$13))</f>
        <v/>
      </c>
    </row>
    <row r="36">
      <c r="A36" t="inlineStr">
        <is>
          <t>PV at target date of FCFF</t>
        </is>
      </c>
      <c r="C36" s="25">
        <f>IF(C35=0,0,C31*C35/(1+$B$12)^(C19-$B$13))</f>
        <v/>
      </c>
      <c r="D36" s="25">
        <f>IF(D35=0,0,D31*D35/(1+$B$12)^(D19-$B$13))</f>
        <v/>
      </c>
      <c r="E36" s="25">
        <f>IF(E35=0,0,E31*E35/(1+$B$12)^(E19-$B$13))</f>
        <v/>
      </c>
    </row>
    <row r="37">
      <c r="A37" t="inlineStr">
        <is>
          <t>Overlap: balance date to target date</t>
        </is>
      </c>
      <c r="C37" s="47">
        <f>MAX(0,MIN(C19,$B$13)-MAX(C19-1,$B$14))</f>
        <v/>
      </c>
      <c r="D37" s="47">
        <f>MAX(0,MIN(D19,$B$13)-MAX(D19-1,$B$14))</f>
        <v/>
      </c>
      <c r="E37" s="47">
        <f>MAX(0,MIN(E19,$B$13)-MAX(E19-1,$B$14))</f>
        <v/>
      </c>
    </row>
    <row r="38">
      <c r="A38" t="inlineStr">
        <is>
          <t>NTM weight at target date</t>
        </is>
      </c>
      <c r="C38" s="47">
        <f>MAX(0,MIN(C19,$B$13+1)-MAX(C19-1,$B$13))</f>
        <v/>
      </c>
      <c r="D38" s="47">
        <f>MAX(0,MIN(D19,$B$13+1)-MAX(D19-1,$B$13))</f>
        <v/>
      </c>
      <c r="E38" s="47">
        <f>MAX(0,MIN(E19,$B$13+1)-MAX(E19-1,$B$13))</f>
        <v/>
      </c>
    </row>
    <row r="39">
      <c r="A39" t="inlineStr">
        <is>
          <t>LTM weight at target date</t>
        </is>
      </c>
      <c r="B39" s="47">
        <f>MAX(0,MIN(0,$B$13)-MAX(-1,$B$13-1))</f>
        <v/>
      </c>
      <c r="C39" s="47">
        <f>MAX(0,MIN(C19,$B$13)-MAX(C19-1,$B$13-1))</f>
        <v/>
      </c>
      <c r="D39" s="47">
        <f>MAX(0,MIN(D19,$B$13)-MAX(D19-1,$B$13-1))</f>
        <v/>
      </c>
      <c r="E39" s="47">
        <f>MAX(0,MIN(E19,$B$13)-MAX(E19-1,$B$13-1))</f>
        <v/>
      </c>
    </row>
    <row r="41">
      <c r="A41" s="21" t="inlineStr">
        <is>
          <t>Value at the target date</t>
        </is>
      </c>
    </row>
    <row r="42">
      <c r="A42" t="inlineStr">
        <is>
          <t>PV of free cash flow after the target date</t>
        </is>
      </c>
      <c r="B42" s="25">
        <f>SUM($C$36:$E$36)</f>
        <v/>
      </c>
    </row>
    <row r="43">
      <c r="A43" t="inlineStr">
        <is>
          <t>Terminal value at final year</t>
        </is>
      </c>
      <c r="B43" s="25">
        <f>IF(Valuation!$B$52="exit_multiple",Valuation!$B$54*E32,E31*(1+Valuation!$B$53)/($B$12-Valuation!$B$53))</f>
        <v/>
      </c>
    </row>
    <row r="44">
      <c r="A44" t="inlineStr">
        <is>
          <t>PV of terminal value at target date</t>
        </is>
      </c>
      <c r="B44" s="25">
        <f>B43/(1+$B$12)^($B$16-$B$13)</f>
        <v/>
      </c>
    </row>
    <row r="45">
      <c r="A45" t="inlineStr">
        <is>
          <t>DCF enterprise value at target date</t>
        </is>
      </c>
      <c r="B45" s="25">
        <f>B42+B44</f>
        <v/>
      </c>
    </row>
    <row r="46">
      <c r="A46" t="inlineStr">
        <is>
          <t>Terminal value share of DCF</t>
        </is>
      </c>
      <c r="B46" s="20">
        <f>B44/B45</f>
        <v/>
      </c>
    </row>
    <row r="47">
      <c r="A47" t="inlineStr">
        <is>
          <t>Free cash flow earned, balance date to target date</t>
        </is>
      </c>
      <c r="B47" s="25">
        <f>SUMPRODUCT($C$37:$E$37,$C$31:$E$31)</f>
        <v/>
      </c>
    </row>
    <row r="48">
      <c r="A48" t="inlineStr">
        <is>
          <t>Shareholder returns + other uses paid</t>
        </is>
      </c>
      <c r="B48" s="25">
        <f>SUMPRODUCT($C$37:$E$37,$C$34:$E$34)</f>
        <v/>
      </c>
    </row>
    <row r="49">
      <c r="A49" t="inlineStr">
        <is>
          <t>Interest drag on net debt</t>
        </is>
      </c>
      <c r="B49" s="25">
        <f>Valuation!$B$58*(1-$C$25)*MAX(Valuation!$B$56,0)*MAX($B$13-$B$14,0)</f>
        <v/>
      </c>
    </row>
    <row r="50">
      <c r="A50" t="inlineStr">
        <is>
          <t>Net debt at target date</t>
        </is>
      </c>
      <c r="B50" s="25">
        <f>IF(Valuation!$B$59="",Valuation!$B$56-B47+B49+B48,Valuation!$B$59)</f>
        <v/>
      </c>
    </row>
    <row r="51">
      <c r="A51" t="inlineStr">
        <is>
          <t>Minority interests</t>
        </is>
      </c>
      <c r="B51" s="25">
        <f>Valuation!$B$57</f>
        <v/>
      </c>
    </row>
    <row r="52">
      <c r="A52" t="inlineStr">
        <is>
          <t>Adjustments (probability-weighted)</t>
        </is>
      </c>
      <c r="B52" s="25">
        <f>0</f>
        <v/>
      </c>
    </row>
    <row r="53">
      <c r="A53" t="inlineStr">
        <is>
          <t>Diluted shares at target date (M)</t>
        </is>
      </c>
      <c r="B53" s="28">
        <f>IF(Valuation!$B$63="",Valuation!$B$60*(1+Valuation!$B$62)^MAX($B$13-$B$15,0),Valuation!$B$63)</f>
        <v/>
      </c>
    </row>
    <row r="54">
      <c r="A54" t="inlineStr">
        <is>
          <t>After-tax interest on target-date net debt</t>
        </is>
      </c>
      <c r="B54" s="25">
        <f>Valuation!$B$58*(1-$C$25)*MAX(B50,0)</f>
        <v/>
      </c>
    </row>
    <row r="55">
      <c r="A55" t="inlineStr">
        <is>
          <t>Check: WACC vs terminal growth</t>
        </is>
      </c>
      <c r="B55">
        <f>IF(AND(Valuation!$B$52&lt;&gt;"exit_multiple",$B$12&lt;=Valuation!$B$53+0.01),"WACC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5">
        <f>SUMPRODUCT($C$38:$E$38,$C$22:$E$22)</f>
        <v/>
      </c>
      <c r="C59" s="25">
        <f>SUMPRODUCT($C$39:$E$39,$C$22:$E$22)+$B$39*$B$22</f>
        <v/>
      </c>
    </row>
    <row r="60">
      <c r="A60" t="inlineStr">
        <is>
          <t>EBIT</t>
        </is>
      </c>
      <c r="B60" s="25">
        <f>SUMPRODUCT($C$38:$E$38,$C$24:$E$24)</f>
        <v/>
      </c>
      <c r="C60" s="25">
        <f>SUMPRODUCT($C$39:$E$39,$C$24:$E$24)</f>
        <v/>
      </c>
    </row>
    <row r="61">
      <c r="A61" t="inlineStr">
        <is>
          <t>EBITDA</t>
        </is>
      </c>
      <c r="B61" s="25">
        <f>SUMPRODUCT($C$38:$E$38,$C$32:$E$32)</f>
        <v/>
      </c>
      <c r="C61" s="25">
        <f>SUMPRODUCT($C$39:$E$39,$C$32:$E$32)</f>
        <v/>
      </c>
    </row>
    <row r="62">
      <c r="A62" t="inlineStr">
        <is>
          <t>Adj. EBITDA</t>
        </is>
      </c>
      <c r="B62" s="25">
        <f>SUMPRODUCT($C$38:$E$38,$C$33:$E$33)</f>
        <v/>
      </c>
      <c r="C62" s="25">
        <f>SUMPRODUCT($C$39:$E$39,$C$33:$E$33)</f>
        <v/>
      </c>
    </row>
    <row r="63">
      <c r="A63" t="inlineStr">
        <is>
          <t>NOPAT</t>
        </is>
      </c>
      <c r="B63" s="25">
        <f>SUMPRODUCT($C$38:$E$38,$C$26:$E$26)</f>
        <v/>
      </c>
      <c r="C63" s="25">
        <f>SUMPRODUCT($C$39:$E$39,$C$26:$E$26)</f>
        <v/>
      </c>
    </row>
    <row r="64">
      <c r="A64" t="inlineStr">
        <is>
          <t>Free cash flow to firm</t>
        </is>
      </c>
      <c r="B64" s="25">
        <f>SUMPRODUCT($C$38:$E$38,$C$31:$E$31)</f>
        <v/>
      </c>
      <c r="C64" s="25">
        <f>SUMPRODUCT($C$39:$E$39,$C$31:$E$31)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20">
        <f>Valuation!$B$64</f>
        <v/>
      </c>
    </row>
    <row r="68">
      <c r="A68">
        <f>"Multiple: "&amp;Valuation!A70&amp;" ("&amp;Valuation!D70&amp;")"</f>
        <v/>
      </c>
      <c r="B68">
        <f>Valuation!A70</f>
        <v/>
      </c>
      <c r="C68" s="9">
        <f>IF(B68="FCF yield",(Valuation!B70)*(1-$B$8),(Valuation!B70)+IF(B68="EV/sales",0.1,1)*$B$6)</f>
        <v/>
      </c>
      <c r="D68">
        <f>Valuation!D70</f>
        <v/>
      </c>
      <c r="E68" s="25">
        <f>IF(D68="ltm",CHOOSE(H68,$C$59,$C$60,$C$61,$C$62,$C$63,$C$64),CHOOSE(H68,$B$59,$B$60,$B$61,$B$62,$B$63,$B$64))</f>
        <v/>
      </c>
      <c r="F68" s="9">
        <f>IF(OR(B68="EV/EBITDA",B68="EV/sales",B68="EV/EBIT"),((C68*E68)-$B$50-$B$51+$B$52)/$B$53,IF(B68="P/E",IF(Valuation!F70&lt;&gt;"",C68*(Valuation!F70)*(1+$B$9),C68*(E68-$B$54)/$B$53),IF(Valuation!G70&lt;&gt;"",(Valuation!G70)*(1+$B$9)/C68,(E68-IF(Valuation!H70,$B$54,0))/C68/$B$53))+$B$52/$B$53)</f>
        <v/>
      </c>
      <c r="G68" s="20">
        <f>Valuation!C70</f>
        <v/>
      </c>
      <c r="H68">
        <f>IF(B68="EV/sales",1,IF(B68="EV/EBIT",2,IF(B68="EV/EBITDA",IF(Valuation!E70="adjusted",4,3),IF(B68="P/E",5,6))))</f>
        <v/>
      </c>
      <c r="I68" s="48">
        <f>IF(AND(B68="P/E",Valuation!F70&lt;&gt;""),(Valuation!F70)*(1+$B$9),IF(AND(B68="FCF yield",Valuation!G70&lt;&gt;""),(Valuation!G70)*(1+$B$9),E68))</f>
        <v/>
      </c>
    </row>
    <row r="69">
      <c r="A69">
        <f>"Multiple: "&amp;Valuation!A71&amp;" ("&amp;Valuation!D71&amp;")"</f>
        <v/>
      </c>
      <c r="B69">
        <f>Valuation!A71</f>
        <v/>
      </c>
      <c r="C69" s="9">
        <f>IF(B69="FCF yield",(Valuation!B71)*(1-$B$8),(Valuation!B71)+IF(B69="EV/sales",0.1,1)*$B$6)</f>
        <v/>
      </c>
      <c r="D69">
        <f>Valuation!D71</f>
        <v/>
      </c>
      <c r="E69" s="25">
        <f>IF(D69="ltm",CHOOSE(H69,$C$59,$C$60,$C$61,$C$62,$C$63,$C$64),CHOOSE(H69,$B$59,$B$60,$B$61,$B$62,$B$63,$B$64))</f>
        <v/>
      </c>
      <c r="F69" s="9">
        <f>IF(OR(B69="EV/EBITDA",B69="EV/sales",B69="EV/EBIT"),((C69*E69)-$B$50-$B$51+$B$52)/$B$53,IF(B69="P/E",IF(Valuation!F71&lt;&gt;"",C69*(Valuation!F71)*(1+$B$9),C69*(E69-$B$54)/$B$53),IF(Valuation!G71&lt;&gt;"",(Valuation!G71)*(1+$B$9)/C69,(E69-IF(Valuation!H71,$B$54,0))/C69/$B$53))+$B$52/$B$53)</f>
        <v/>
      </c>
      <c r="G69" s="20">
        <f>Valuation!C71</f>
        <v/>
      </c>
      <c r="H69">
        <f>IF(B69="EV/sales",1,IF(B69="EV/EBIT",2,IF(B69="EV/EBITDA",IF(Valuation!E71="adjusted",4,3),IF(B69="P/E",5,6))))</f>
        <v/>
      </c>
      <c r="I69" s="48">
        <f>IF(AND(B69="P/E",Valuation!F71&lt;&gt;""),(Valuation!F71)*(1+$B$9),IF(AND(B69="FCF yield",Valuation!G71&lt;&gt;""),(Valuation!G71)*(1+$B$9),E69))</f>
        <v/>
      </c>
    </row>
    <row r="70">
      <c r="A70" s="21" t="inlineStr">
        <is>
          <t>Value per share at target date (weighted methods)</t>
        </is>
      </c>
      <c r="F70" s="6">
        <f>SUMPRODUCT(F67:F69,G67:G69)/SUM(G67:G69)</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5"/>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BKNG engine calculation: bear scenario</t>
        </is>
      </c>
    </row>
    <row r="2">
      <c r="A2" s="2" t="inlineStr">
        <is>
          <t>Machinery behind the Valuation and Distribution tabs; drivers come from Model, assumptions from Valuation.</t>
        </is>
      </c>
    </row>
    <row r="4">
      <c r="A4" t="inlineStr">
        <is>
          <t>Scenario Growth Δ</t>
        </is>
      </c>
      <c r="B4" s="12">
        <f>N(Valuation!C83)</f>
        <v/>
      </c>
    </row>
    <row r="5">
      <c r="A5" t="inlineStr">
        <is>
          <t>Scenario Margin Δ</t>
        </is>
      </c>
      <c r="B5" s="12">
        <f>N(Valuation!D83)</f>
        <v/>
      </c>
    </row>
    <row r="6">
      <c r="A6" t="inlineStr">
        <is>
          <t>Scenario Multiple Δ (turns)</t>
        </is>
      </c>
      <c r="B6" s="49">
        <f>N(Valuation!E83)</f>
        <v/>
      </c>
    </row>
    <row r="7">
      <c r="A7" t="inlineStr">
        <is>
          <t>Scenario WACC Δ</t>
        </is>
      </c>
      <c r="B7" s="12">
        <f>N(Valuation!F83)</f>
        <v/>
      </c>
    </row>
    <row r="8">
      <c r="A8" t="inlineStr">
        <is>
          <t>Scenario Multiple %Δ</t>
        </is>
      </c>
      <c r="B8" s="12">
        <f>N(Valuation!G83)</f>
        <v/>
      </c>
    </row>
    <row r="9">
      <c r="A9" t="inlineStr">
        <is>
          <t>Scenario Stated EPS/FCF %Δ</t>
        </is>
      </c>
      <c r="B9" s="12">
        <f>N(Valuation!H83)</f>
        <v/>
      </c>
    </row>
    <row r="10">
      <c r="A10" t="inlineStr">
        <is>
          <t>Scenario Custom %Δ</t>
        </is>
      </c>
      <c r="B10" s="12">
        <f>N(Valuation!I83)</f>
        <v/>
      </c>
    </row>
    <row r="12">
      <c r="A12" t="inlineStr">
        <is>
          <t>WACC</t>
        </is>
      </c>
      <c r="B12" s="20">
        <f>Valuation!$B$51+B7</f>
        <v/>
      </c>
    </row>
    <row r="13">
      <c r="A13" t="inlineStr">
        <is>
          <t>Years from last FY end to target date</t>
        </is>
      </c>
      <c r="B13" s="47">
        <f>(Valuation!$B$45-Valuation!$B$49)/365.25</f>
        <v/>
      </c>
    </row>
    <row r="14">
      <c r="A14" t="inlineStr">
        <is>
          <t>Years from last FY end to balance date</t>
        </is>
      </c>
      <c r="B14" s="47">
        <f>(Valuation!$B$55-Valuation!$B$49)/365.25</f>
        <v/>
      </c>
    </row>
    <row r="15">
      <c r="A15" t="inlineStr">
        <is>
          <t>Years from last FY end to share count date</t>
        </is>
      </c>
      <c r="B15" s="47">
        <f>(Valuation!$B$61-Valuation!$B$49)/365.25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2">
        <f>Valuation!$B$49+ROUND(365.25*C19,0)</f>
        <v/>
      </c>
      <c r="D20" s="22">
        <f>Valuation!$B$49+ROUND(365.25*D19,0)</f>
        <v/>
      </c>
      <c r="E20" s="22">
        <f>Valuation!$B$49+ROUND(365.25*E19,0)</f>
        <v/>
      </c>
    </row>
    <row r="21">
      <c r="A21" t="inlineStr">
        <is>
          <t>Revenue growth</t>
        </is>
      </c>
      <c r="C21" s="20">
        <f>Model!E48+$B$4+$B$250</f>
        <v/>
      </c>
      <c r="D21" s="20">
        <f>Model!F48+$B$4</f>
        <v/>
      </c>
      <c r="E21" s="20">
        <f>Model!G48+$B$4</f>
        <v/>
      </c>
    </row>
    <row r="22">
      <c r="A22" t="inlineStr">
        <is>
          <t>Revenue</t>
        </is>
      </c>
      <c r="B22" s="25">
        <f>Valuation!$B$50</f>
        <v/>
      </c>
      <c r="C22" s="25">
        <f>B22*(1+C21)</f>
        <v/>
      </c>
      <c r="D22" s="25">
        <f>C22*(1+D21)</f>
        <v/>
      </c>
      <c r="E22" s="25">
        <f>D22*(1+E21)</f>
        <v/>
      </c>
    </row>
    <row r="23">
      <c r="A23" t="inlineStr">
        <is>
          <t>EBIT margin</t>
        </is>
      </c>
      <c r="C23" s="20">
        <f>Model!E49+$B$5+$B$251</f>
        <v/>
      </c>
      <c r="D23" s="20">
        <f>Model!F49+$B$5+$B$252</f>
        <v/>
      </c>
      <c r="E23" s="20">
        <f>Model!G49+$B$5+$B$253</f>
        <v/>
      </c>
    </row>
    <row r="24">
      <c r="A24" t="inlineStr">
        <is>
          <t>EBIT</t>
        </is>
      </c>
      <c r="C24" s="25">
        <f>C22*C23</f>
        <v/>
      </c>
      <c r="D24" s="25">
        <f>D22*D23</f>
        <v/>
      </c>
      <c r="E24" s="25">
        <f>E22*E23</f>
        <v/>
      </c>
    </row>
    <row r="25">
      <c r="A25" t="inlineStr">
        <is>
          <t>Tax rate</t>
        </is>
      </c>
      <c r="C25" s="20">
        <f>Model!E50</f>
        <v/>
      </c>
      <c r="D25" s="20">
        <f>Model!F50</f>
        <v/>
      </c>
      <c r="E25" s="20">
        <f>Model!G50</f>
        <v/>
      </c>
    </row>
    <row r="26">
      <c r="A26" t="inlineStr">
        <is>
          <t>NOPAT</t>
        </is>
      </c>
      <c r="C26" s="25">
        <f>C24*(1-C25)</f>
        <v/>
      </c>
      <c r="D26" s="25">
        <f>D24*(1-D25)</f>
        <v/>
      </c>
      <c r="E26" s="25">
        <f>E24*(1-E25)</f>
        <v/>
      </c>
    </row>
    <row r="27">
      <c r="A27" t="inlineStr">
        <is>
          <t>D&amp;A</t>
        </is>
      </c>
      <c r="C27" s="25">
        <f>C22*(Model!E51)</f>
        <v/>
      </c>
      <c r="D27" s="25">
        <f>D22*(Model!F51)</f>
        <v/>
      </c>
      <c r="E27" s="25">
        <f>E22*(Model!G51)</f>
        <v/>
      </c>
    </row>
    <row r="28">
      <c r="A28" t="inlineStr">
        <is>
          <t>Capex</t>
        </is>
      </c>
      <c r="C28" s="25">
        <f>C22*(Model!E52)</f>
        <v/>
      </c>
      <c r="D28" s="25">
        <f>D22*(Model!F52)</f>
        <v/>
      </c>
      <c r="E28" s="25">
        <f>E22*(Model!G52)</f>
        <v/>
      </c>
    </row>
    <row r="29">
      <c r="A29" t="inlineStr">
        <is>
          <t>Working capital increase</t>
        </is>
      </c>
      <c r="C29" s="25">
        <f>(Model!E53)*(C22-B22)</f>
        <v/>
      </c>
      <c r="D29" s="25">
        <f>(Model!F53)*(D22-C22)</f>
        <v/>
      </c>
      <c r="E29" s="25">
        <f>(Model!G53)*(E22-D22)</f>
        <v/>
      </c>
    </row>
    <row r="30">
      <c r="A30" t="inlineStr">
        <is>
          <t>Stock comp</t>
        </is>
      </c>
      <c r="C30" s="25">
        <f>C22*(Model!E54)</f>
        <v/>
      </c>
      <c r="D30" s="25">
        <f>D22*(Model!F54)</f>
        <v/>
      </c>
      <c r="E30" s="25">
        <f>E22*(Model!G54)</f>
        <v/>
      </c>
    </row>
    <row r="31">
      <c r="A31" t="inlineStr">
        <is>
          <t>Free cash flow to firm</t>
        </is>
      </c>
      <c r="C31" s="25">
        <f>C26+C27-C28-C29-IF(AND(Valuation!$B$47="adjusted",Valuation!$B$48="cost"),C30*(1-C25),0)</f>
        <v/>
      </c>
      <c r="D31" s="25">
        <f>D26+D27-D28-D29-IF(AND(Valuation!$B$47="adjusted",Valuation!$B$48="cost"),D30*(1-D25),0)</f>
        <v/>
      </c>
      <c r="E31" s="25">
        <f>E26+E27-E28-E29-IF(AND(Valuation!$B$47="adjusted",Valuation!$B$48="cost"),E30*(1-E25),0)</f>
        <v/>
      </c>
    </row>
    <row r="32">
      <c r="A32" t="inlineStr">
        <is>
          <t>EBITDA</t>
        </is>
      </c>
      <c r="C32" s="25">
        <f>C24+C27</f>
        <v/>
      </c>
      <c r="D32" s="25">
        <f>D24+D27</f>
        <v/>
      </c>
      <c r="E32" s="25">
        <f>E24+E27</f>
        <v/>
      </c>
    </row>
    <row r="33">
      <c r="A33" t="inlineStr">
        <is>
          <t>Adj. EBITDA</t>
        </is>
      </c>
      <c r="C33" s="25">
        <f>C24+C27+C22*(Model!E58)</f>
        <v/>
      </c>
      <c r="D33" s="25">
        <f>D24+D27+D22*(Model!F58)</f>
        <v/>
      </c>
      <c r="E33" s="25">
        <f>E24+E27+E22*(Model!G58)</f>
        <v/>
      </c>
    </row>
    <row r="34">
      <c r="A34" t="inlineStr">
        <is>
          <t>Shareholder returns + other uses</t>
        </is>
      </c>
      <c r="C34" s="25">
        <f>C22*Model!E56+Model!E55+Model!E57</f>
        <v/>
      </c>
      <c r="D34" s="25">
        <f>D22*Model!F56+Model!F55+Model!F57</f>
        <v/>
      </c>
      <c r="E34" s="25">
        <f>E22*Model!G56+Model!G55+Model!G57</f>
        <v/>
      </c>
    </row>
    <row r="35">
      <c r="A35" t="inlineStr">
        <is>
          <t>Share of year after target date</t>
        </is>
      </c>
      <c r="C35" s="47">
        <f>IF(C19&lt;=$B$13,0,C19-MAX(C19-1,$B$13))</f>
        <v/>
      </c>
      <c r="D35" s="47">
        <f>IF(D19&lt;=$B$13,0,D19-MAX(D19-1,$B$13))</f>
        <v/>
      </c>
      <c r="E35" s="47">
        <f>IF(E19&lt;=$B$13,0,E19-MAX(E19-1,$B$13))</f>
        <v/>
      </c>
    </row>
    <row r="36">
      <c r="A36" t="inlineStr">
        <is>
          <t>PV at target date of FCFF</t>
        </is>
      </c>
      <c r="C36" s="25">
        <f>IF(C35=0,0,C31*C35/(1+$B$12)^(C19-$B$13))</f>
        <v/>
      </c>
      <c r="D36" s="25">
        <f>IF(D35=0,0,D31*D35/(1+$B$12)^(D19-$B$13))</f>
        <v/>
      </c>
      <c r="E36" s="25">
        <f>IF(E35=0,0,E31*E35/(1+$B$12)^(E19-$B$13))</f>
        <v/>
      </c>
    </row>
    <row r="37">
      <c r="A37" t="inlineStr">
        <is>
          <t>Overlap: balance date to target date</t>
        </is>
      </c>
      <c r="C37" s="47">
        <f>MAX(0,MIN(C19,$B$13)-MAX(C19-1,$B$14))</f>
        <v/>
      </c>
      <c r="D37" s="47">
        <f>MAX(0,MIN(D19,$B$13)-MAX(D19-1,$B$14))</f>
        <v/>
      </c>
      <c r="E37" s="47">
        <f>MAX(0,MIN(E19,$B$13)-MAX(E19-1,$B$14))</f>
        <v/>
      </c>
    </row>
    <row r="38">
      <c r="A38" t="inlineStr">
        <is>
          <t>NTM weight at target date</t>
        </is>
      </c>
      <c r="C38" s="47">
        <f>MAX(0,MIN(C19,$B$13+1)-MAX(C19-1,$B$13))</f>
        <v/>
      </c>
      <c r="D38" s="47">
        <f>MAX(0,MIN(D19,$B$13+1)-MAX(D19-1,$B$13))</f>
        <v/>
      </c>
      <c r="E38" s="47">
        <f>MAX(0,MIN(E19,$B$13+1)-MAX(E19-1,$B$13))</f>
        <v/>
      </c>
    </row>
    <row r="39">
      <c r="A39" t="inlineStr">
        <is>
          <t>LTM weight at target date</t>
        </is>
      </c>
      <c r="B39" s="47">
        <f>MAX(0,MIN(0,$B$13)-MAX(-1,$B$13-1))</f>
        <v/>
      </c>
      <c r="C39" s="47">
        <f>MAX(0,MIN(C19,$B$13)-MAX(C19-1,$B$13-1))</f>
        <v/>
      </c>
      <c r="D39" s="47">
        <f>MAX(0,MIN(D19,$B$13)-MAX(D19-1,$B$13-1))</f>
        <v/>
      </c>
      <c r="E39" s="47">
        <f>MAX(0,MIN(E19,$B$13)-MAX(E19-1,$B$13-1))</f>
        <v/>
      </c>
    </row>
    <row r="41">
      <c r="A41" s="21" t="inlineStr">
        <is>
          <t>Value at the target date</t>
        </is>
      </c>
    </row>
    <row r="42">
      <c r="A42" t="inlineStr">
        <is>
          <t>PV of free cash flow after the target date</t>
        </is>
      </c>
      <c r="B42" s="25">
        <f>SUM($C$36:$E$36)</f>
        <v/>
      </c>
    </row>
    <row r="43">
      <c r="A43" t="inlineStr">
        <is>
          <t>Terminal value at final year</t>
        </is>
      </c>
      <c r="B43" s="25">
        <f>IF(Valuation!$B$52="exit_multiple",Valuation!$B$54*E32,E31*(1+Valuation!$B$53)/($B$12-Valuation!$B$53))</f>
        <v/>
      </c>
    </row>
    <row r="44">
      <c r="A44" t="inlineStr">
        <is>
          <t>PV of terminal value at target date</t>
        </is>
      </c>
      <c r="B44" s="25">
        <f>B43/(1+$B$12)^($B$16-$B$13)</f>
        <v/>
      </c>
    </row>
    <row r="45">
      <c r="A45" t="inlineStr">
        <is>
          <t>DCF enterprise value at target date</t>
        </is>
      </c>
      <c r="B45" s="25">
        <f>B42+B44</f>
        <v/>
      </c>
    </row>
    <row r="46">
      <c r="A46" t="inlineStr">
        <is>
          <t>Terminal value share of DCF</t>
        </is>
      </c>
      <c r="B46" s="20">
        <f>B44/B45</f>
        <v/>
      </c>
    </row>
    <row r="47">
      <c r="A47" t="inlineStr">
        <is>
          <t>Free cash flow earned, balance date to target date</t>
        </is>
      </c>
      <c r="B47" s="25">
        <f>SUMPRODUCT($C$37:$E$37,$C$31:$E$31)</f>
        <v/>
      </c>
    </row>
    <row r="48">
      <c r="A48" t="inlineStr">
        <is>
          <t>Shareholder returns + other uses paid</t>
        </is>
      </c>
      <c r="B48" s="25">
        <f>SUMPRODUCT($C$37:$E$37,$C$34:$E$34)</f>
        <v/>
      </c>
    </row>
    <row r="49">
      <c r="A49" t="inlineStr">
        <is>
          <t>Interest drag on net debt</t>
        </is>
      </c>
      <c r="B49" s="25">
        <f>Valuation!$B$58*(1-$C$25)*MAX(Valuation!$B$56,0)*MAX($B$13-$B$14,0)</f>
        <v/>
      </c>
    </row>
    <row r="50">
      <c r="A50" t="inlineStr">
        <is>
          <t>Net debt at target date</t>
        </is>
      </c>
      <c r="B50" s="25">
        <f>IF(Valuation!$B$59="",Valuation!$B$56-B47+B49+B48,Valuation!$B$59)</f>
        <v/>
      </c>
    </row>
    <row r="51">
      <c r="A51" t="inlineStr">
        <is>
          <t>Minority interests</t>
        </is>
      </c>
      <c r="B51" s="25">
        <f>Valuation!$B$57</f>
        <v/>
      </c>
    </row>
    <row r="52">
      <c r="A52" t="inlineStr">
        <is>
          <t>Adjustments (probability-weighted)</t>
        </is>
      </c>
      <c r="B52" s="25">
        <f>0</f>
        <v/>
      </c>
    </row>
    <row r="53">
      <c r="A53" t="inlineStr">
        <is>
          <t>Diluted shares at target date (M)</t>
        </is>
      </c>
      <c r="B53" s="28">
        <f>IF(Valuation!$B$63="",Valuation!$B$60*(1+Valuation!$B$62)^MAX($B$13-$B$15,0),Valuation!$B$63)</f>
        <v/>
      </c>
    </row>
    <row r="54">
      <c r="A54" t="inlineStr">
        <is>
          <t>After-tax interest on target-date net debt</t>
        </is>
      </c>
      <c r="B54" s="25">
        <f>Valuation!$B$58*(1-$C$25)*MAX(B50,0)</f>
        <v/>
      </c>
    </row>
    <row r="55">
      <c r="A55" t="inlineStr">
        <is>
          <t>Check: WACC vs terminal growth</t>
        </is>
      </c>
      <c r="B55">
        <f>IF(AND(Valuation!$B$52&lt;&gt;"exit_multiple",$B$12&lt;=Valuation!$B$53+0.01),"WACC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5">
        <f>SUMPRODUCT($C$38:$E$38,$C$22:$E$22)</f>
        <v/>
      </c>
      <c r="C59" s="25">
        <f>SUMPRODUCT($C$39:$E$39,$C$22:$E$22)+$B$39*$B$22</f>
        <v/>
      </c>
    </row>
    <row r="60">
      <c r="A60" t="inlineStr">
        <is>
          <t>EBIT</t>
        </is>
      </c>
      <c r="B60" s="25">
        <f>SUMPRODUCT($C$38:$E$38,$C$24:$E$24)</f>
        <v/>
      </c>
      <c r="C60" s="25">
        <f>SUMPRODUCT($C$39:$E$39,$C$24:$E$24)</f>
        <v/>
      </c>
    </row>
    <row r="61">
      <c r="A61" t="inlineStr">
        <is>
          <t>EBITDA</t>
        </is>
      </c>
      <c r="B61" s="25">
        <f>SUMPRODUCT($C$38:$E$38,$C$32:$E$32)</f>
        <v/>
      </c>
      <c r="C61" s="25">
        <f>SUMPRODUCT($C$39:$E$39,$C$32:$E$32)</f>
        <v/>
      </c>
    </row>
    <row r="62">
      <c r="A62" t="inlineStr">
        <is>
          <t>Adj. EBITDA</t>
        </is>
      </c>
      <c r="B62" s="25">
        <f>SUMPRODUCT($C$38:$E$38,$C$33:$E$33)</f>
        <v/>
      </c>
      <c r="C62" s="25">
        <f>SUMPRODUCT($C$39:$E$39,$C$33:$E$33)</f>
        <v/>
      </c>
    </row>
    <row r="63">
      <c r="A63" t="inlineStr">
        <is>
          <t>NOPAT</t>
        </is>
      </c>
      <c r="B63" s="25">
        <f>SUMPRODUCT($C$38:$E$38,$C$26:$E$26)</f>
        <v/>
      </c>
      <c r="C63" s="25">
        <f>SUMPRODUCT($C$39:$E$39,$C$26:$E$26)</f>
        <v/>
      </c>
    </row>
    <row r="64">
      <c r="A64" t="inlineStr">
        <is>
          <t>Free cash flow to firm</t>
        </is>
      </c>
      <c r="B64" s="25">
        <f>SUMPRODUCT($C$38:$E$38,$C$31:$E$31)</f>
        <v/>
      </c>
      <c r="C64" s="25">
        <f>SUMPRODUCT($C$39:$E$39,$C$31:$E$31)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20">
        <f>Valuation!$B$64</f>
        <v/>
      </c>
    </row>
    <row r="68">
      <c r="A68">
        <f>"Multiple: "&amp;Valuation!A70&amp;" ("&amp;Valuation!D70&amp;")"</f>
        <v/>
      </c>
      <c r="B68">
        <f>Valuation!A70</f>
        <v/>
      </c>
      <c r="C68" s="9">
        <f>IF(B68="FCF yield",(Valuation!B70)*(1-$B$8),(Valuation!B70)+IF(B68="EV/sales",0.1,1)*$B$6)</f>
        <v/>
      </c>
      <c r="D68">
        <f>Valuation!D70</f>
        <v/>
      </c>
      <c r="E68" s="25">
        <f>IF(D68="ltm",CHOOSE(H68,$C$59,$C$60,$C$61,$C$62,$C$63,$C$64),CHOOSE(H68,$B$59,$B$60,$B$61,$B$62,$B$63,$B$64))</f>
        <v/>
      </c>
      <c r="F68" s="9">
        <f>IF(OR(B68="EV/EBITDA",B68="EV/sales",B68="EV/EBIT"),((C68*E68)-$B$50-$B$51+$B$52)/$B$53,IF(B68="P/E",IF(Valuation!F70&lt;&gt;"",C68*(Valuation!F70+$B$254)*(1+$B$9),C68*(E68-$B$54)/$B$53),IF(Valuation!G70&lt;&gt;"",(Valuation!G70)*(1+$B$9)/C68,(E68-IF(Valuation!H70,$B$54,0))/C68/$B$53))+$B$52/$B$53)</f>
        <v/>
      </c>
      <c r="G68" s="20">
        <f>Valuation!C70</f>
        <v/>
      </c>
      <c r="H68">
        <f>IF(B68="EV/sales",1,IF(B68="EV/EBIT",2,IF(B68="EV/EBITDA",IF(Valuation!E70="adjusted",4,3),IF(B68="P/E",5,6))))</f>
        <v/>
      </c>
      <c r="I68" s="48">
        <f>IF(AND(B68="P/E",Valuation!F70&lt;&gt;""),(Valuation!F70+$B$254)*(1+$B$9),IF(AND(B68="FCF yield",Valuation!G70&lt;&gt;""),(Valuation!G70)*(1+$B$9),E68))</f>
        <v/>
      </c>
    </row>
    <row r="69">
      <c r="A69">
        <f>"Multiple: "&amp;Valuation!A71&amp;" ("&amp;Valuation!D71&amp;")"</f>
        <v/>
      </c>
      <c r="B69">
        <f>Valuation!A71</f>
        <v/>
      </c>
      <c r="C69" s="9">
        <f>IF(B69="FCF yield",(Valuation!B71)*(1-$B$8),(Valuation!B71)+IF(B69="EV/sales",0.1,1)*$B$6)</f>
        <v/>
      </c>
      <c r="D69">
        <f>Valuation!D71</f>
        <v/>
      </c>
      <c r="E69" s="25">
        <f>IF(D69="ltm",CHOOSE(H69,$C$59,$C$60,$C$61,$C$62,$C$63,$C$64),CHOOSE(H69,$B$59,$B$60,$B$61,$B$62,$B$63,$B$64))</f>
        <v/>
      </c>
      <c r="F69" s="9">
        <f>IF(OR(B69="EV/EBITDA",B69="EV/sales",B69="EV/EBIT"),((C69*E69)-$B$50-$B$51+$B$52)/$B$53,IF(B69="P/E",IF(Valuation!F71&lt;&gt;"",C69*(Valuation!F71)*(1+$B$9),C69*(E69-$B$54)/$B$53),IF(Valuation!G71&lt;&gt;"",(Valuation!G71+$B$255)*(1+$B$9)/C69,(E69-IF(Valuation!H71,$B$54,0))/C69/$B$53))+$B$52/$B$53)</f>
        <v/>
      </c>
      <c r="G69" s="20">
        <f>Valuation!C71</f>
        <v/>
      </c>
      <c r="H69">
        <f>IF(B69="EV/sales",1,IF(B69="EV/EBIT",2,IF(B69="EV/EBITDA",IF(Valuation!E71="adjusted",4,3),IF(B69="P/E",5,6))))</f>
        <v/>
      </c>
      <c r="I69" s="48">
        <f>IF(AND(B69="P/E",Valuation!F71&lt;&gt;""),(Valuation!F71)*(1+$B$9),IF(AND(B69="FCF yield",Valuation!G71&lt;&gt;""),(Valuation!G71+$B$255)*(1+$B$9),E69))</f>
        <v/>
      </c>
    </row>
    <row r="70">
      <c r="A70" s="21" t="inlineStr">
        <is>
          <t>Value per share at target date (weighted methods)</t>
        </is>
      </c>
      <c r="F70" s="6">
        <f>SUMPRODUCT(F67:F69,G67:G69)/SUM(G67:G69)</f>
        <v/>
      </c>
    </row>
    <row r="249">
      <c r="A249" s="21" t="inlineStr">
        <is>
          <t>Driver scenario shifts: line-item changes model_drivers.py resolves from this scenario's driver deltas (added to the Model tab inputs)</t>
        </is>
      </c>
    </row>
    <row r="250">
      <c r="A250" t="inlineStr">
        <is>
          <t>Revenue growth, year 1</t>
        </is>
      </c>
      <c r="B250" s="50" t="n">
        <v>-0.06908128108114497</v>
      </c>
    </row>
    <row r="251">
      <c r="A251" t="inlineStr">
        <is>
          <t>EBIT margin, year 1</t>
        </is>
      </c>
      <c r="B251" s="50" t="n">
        <v>-0.02055599700352384</v>
      </c>
    </row>
    <row r="252">
      <c r="A252" t="inlineStr">
        <is>
          <t>EBIT margin, year 2</t>
        </is>
      </c>
      <c r="B252" s="50" t="n">
        <v>-0.02054988662131518</v>
      </c>
    </row>
    <row r="253">
      <c r="A253" t="inlineStr">
        <is>
          <t>EBIT margin, year 3</t>
        </is>
      </c>
      <c r="B253" s="50" t="n">
        <v>-0.02054939622907992</v>
      </c>
    </row>
    <row r="254">
      <c r="A254" t="inlineStr">
        <is>
          <t>Stated EPS, multiple 1</t>
        </is>
      </c>
      <c r="B254" s="50" t="n">
        <v>-1.54827641379207</v>
      </c>
    </row>
    <row r="255">
      <c r="A255" t="inlineStr">
        <is>
          <t>Stated FCF/share, multiple 2</t>
        </is>
      </c>
      <c r="B255" s="50" t="n">
        <v>-1.848515375048461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0"/>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BKNG engine calculation: base scenario</t>
        </is>
      </c>
    </row>
    <row r="2">
      <c r="A2" s="2" t="inlineStr">
        <is>
          <t>Machinery behind the Valuation and Distribution tabs; drivers come from Model, assumptions from Valuation.</t>
        </is>
      </c>
    </row>
    <row r="4">
      <c r="A4" t="inlineStr">
        <is>
          <t>Scenario Growth Δ</t>
        </is>
      </c>
      <c r="B4" s="12">
        <f>N(Valuation!C84)</f>
        <v/>
      </c>
    </row>
    <row r="5">
      <c r="A5" t="inlineStr">
        <is>
          <t>Scenario Margin Δ</t>
        </is>
      </c>
      <c r="B5" s="12">
        <f>N(Valuation!D84)</f>
        <v/>
      </c>
    </row>
    <row r="6">
      <c r="A6" t="inlineStr">
        <is>
          <t>Scenario Multiple Δ (turns)</t>
        </is>
      </c>
      <c r="B6" s="49">
        <f>N(Valuation!E84)</f>
        <v/>
      </c>
    </row>
    <row r="7">
      <c r="A7" t="inlineStr">
        <is>
          <t>Scenario WACC Δ</t>
        </is>
      </c>
      <c r="B7" s="12">
        <f>N(Valuation!F84)</f>
        <v/>
      </c>
    </row>
    <row r="8">
      <c r="A8" t="inlineStr">
        <is>
          <t>Scenario Multiple %Δ</t>
        </is>
      </c>
      <c r="B8" s="12">
        <f>N(Valuation!G84)</f>
        <v/>
      </c>
    </row>
    <row r="9">
      <c r="A9" t="inlineStr">
        <is>
          <t>Scenario Stated EPS/FCF %Δ</t>
        </is>
      </c>
      <c r="B9" s="12">
        <f>N(Valuation!H84)</f>
        <v/>
      </c>
    </row>
    <row r="10">
      <c r="A10" t="inlineStr">
        <is>
          <t>Scenario Custom %Δ</t>
        </is>
      </c>
      <c r="B10" s="12">
        <f>N(Valuation!I84)</f>
        <v/>
      </c>
    </row>
    <row r="12">
      <c r="A12" t="inlineStr">
        <is>
          <t>WACC</t>
        </is>
      </c>
      <c r="B12" s="20">
        <f>Valuation!$B$51+B7</f>
        <v/>
      </c>
    </row>
    <row r="13">
      <c r="A13" t="inlineStr">
        <is>
          <t>Years from last FY end to target date</t>
        </is>
      </c>
      <c r="B13" s="47">
        <f>(Valuation!$B$45-Valuation!$B$49)/365.25</f>
        <v/>
      </c>
    </row>
    <row r="14">
      <c r="A14" t="inlineStr">
        <is>
          <t>Years from last FY end to balance date</t>
        </is>
      </c>
      <c r="B14" s="47">
        <f>(Valuation!$B$55-Valuation!$B$49)/365.25</f>
        <v/>
      </c>
    </row>
    <row r="15">
      <c r="A15" t="inlineStr">
        <is>
          <t>Years from last FY end to share count date</t>
        </is>
      </c>
      <c r="B15" s="47">
        <f>(Valuation!$B$61-Valuation!$B$49)/365.25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2">
        <f>Valuation!$B$49+ROUND(365.25*C19,0)</f>
        <v/>
      </c>
      <c r="D20" s="22">
        <f>Valuation!$B$49+ROUND(365.25*D19,0)</f>
        <v/>
      </c>
      <c r="E20" s="22">
        <f>Valuation!$B$49+ROUND(365.25*E19,0)</f>
        <v/>
      </c>
    </row>
    <row r="21">
      <c r="A21" t="inlineStr">
        <is>
          <t>Revenue growth</t>
        </is>
      </c>
      <c r="C21" s="20">
        <f>Model!E48+$B$4</f>
        <v/>
      </c>
      <c r="D21" s="20">
        <f>Model!F48+$B$4</f>
        <v/>
      </c>
      <c r="E21" s="20">
        <f>Model!G48+$B$4</f>
        <v/>
      </c>
    </row>
    <row r="22">
      <c r="A22" t="inlineStr">
        <is>
          <t>Revenue</t>
        </is>
      </c>
      <c r="B22" s="25">
        <f>Valuation!$B$50</f>
        <v/>
      </c>
      <c r="C22" s="25">
        <f>B22*(1+C21)</f>
        <v/>
      </c>
      <c r="D22" s="25">
        <f>C22*(1+D21)</f>
        <v/>
      </c>
      <c r="E22" s="25">
        <f>D22*(1+E21)</f>
        <v/>
      </c>
    </row>
    <row r="23">
      <c r="A23" t="inlineStr">
        <is>
          <t>EBIT margin</t>
        </is>
      </c>
      <c r="C23" s="20">
        <f>Model!E49+$B$5</f>
        <v/>
      </c>
      <c r="D23" s="20">
        <f>Model!F49+$B$5</f>
        <v/>
      </c>
      <c r="E23" s="20">
        <f>Model!G49+$B$5</f>
        <v/>
      </c>
    </row>
    <row r="24">
      <c r="A24" t="inlineStr">
        <is>
          <t>EBIT</t>
        </is>
      </c>
      <c r="C24" s="25">
        <f>C22*C23</f>
        <v/>
      </c>
      <c r="D24" s="25">
        <f>D22*D23</f>
        <v/>
      </c>
      <c r="E24" s="25">
        <f>E22*E23</f>
        <v/>
      </c>
    </row>
    <row r="25">
      <c r="A25" t="inlineStr">
        <is>
          <t>Tax rate</t>
        </is>
      </c>
      <c r="C25" s="20">
        <f>Model!E50</f>
        <v/>
      </c>
      <c r="D25" s="20">
        <f>Model!F50</f>
        <v/>
      </c>
      <c r="E25" s="20">
        <f>Model!G50</f>
        <v/>
      </c>
    </row>
    <row r="26">
      <c r="A26" t="inlineStr">
        <is>
          <t>NOPAT</t>
        </is>
      </c>
      <c r="C26" s="25">
        <f>C24*(1-C25)</f>
        <v/>
      </c>
      <c r="D26" s="25">
        <f>D24*(1-D25)</f>
        <v/>
      </c>
      <c r="E26" s="25">
        <f>E24*(1-E25)</f>
        <v/>
      </c>
    </row>
    <row r="27">
      <c r="A27" t="inlineStr">
        <is>
          <t>D&amp;A</t>
        </is>
      </c>
      <c r="C27" s="25">
        <f>C22*(Model!E51)</f>
        <v/>
      </c>
      <c r="D27" s="25">
        <f>D22*(Model!F51)</f>
        <v/>
      </c>
      <c r="E27" s="25">
        <f>E22*(Model!G51)</f>
        <v/>
      </c>
    </row>
    <row r="28">
      <c r="A28" t="inlineStr">
        <is>
          <t>Capex</t>
        </is>
      </c>
      <c r="C28" s="25">
        <f>C22*(Model!E52)</f>
        <v/>
      </c>
      <c r="D28" s="25">
        <f>D22*(Model!F52)</f>
        <v/>
      </c>
      <c r="E28" s="25">
        <f>E22*(Model!G52)</f>
        <v/>
      </c>
    </row>
    <row r="29">
      <c r="A29" t="inlineStr">
        <is>
          <t>Working capital increase</t>
        </is>
      </c>
      <c r="C29" s="25">
        <f>(Model!E53)*(C22-B22)</f>
        <v/>
      </c>
      <c r="D29" s="25">
        <f>(Model!F53)*(D22-C22)</f>
        <v/>
      </c>
      <c r="E29" s="25">
        <f>(Model!G53)*(E22-D22)</f>
        <v/>
      </c>
    </row>
    <row r="30">
      <c r="A30" t="inlineStr">
        <is>
          <t>Stock comp</t>
        </is>
      </c>
      <c r="C30" s="25">
        <f>C22*(Model!E54)</f>
        <v/>
      </c>
      <c r="D30" s="25">
        <f>D22*(Model!F54)</f>
        <v/>
      </c>
      <c r="E30" s="25">
        <f>E22*(Model!G54)</f>
        <v/>
      </c>
    </row>
    <row r="31">
      <c r="A31" t="inlineStr">
        <is>
          <t>Free cash flow to firm</t>
        </is>
      </c>
      <c r="C31" s="25">
        <f>C26+C27-C28-C29-IF(AND(Valuation!$B$47="adjusted",Valuation!$B$48="cost"),C30*(1-C25),0)</f>
        <v/>
      </c>
      <c r="D31" s="25">
        <f>D26+D27-D28-D29-IF(AND(Valuation!$B$47="adjusted",Valuation!$B$48="cost"),D30*(1-D25),0)</f>
        <v/>
      </c>
      <c r="E31" s="25">
        <f>E26+E27-E28-E29-IF(AND(Valuation!$B$47="adjusted",Valuation!$B$48="cost"),E30*(1-E25),0)</f>
        <v/>
      </c>
    </row>
    <row r="32">
      <c r="A32" t="inlineStr">
        <is>
          <t>EBITDA</t>
        </is>
      </c>
      <c r="C32" s="25">
        <f>C24+C27</f>
        <v/>
      </c>
      <c r="D32" s="25">
        <f>D24+D27</f>
        <v/>
      </c>
      <c r="E32" s="25">
        <f>E24+E27</f>
        <v/>
      </c>
    </row>
    <row r="33">
      <c r="A33" t="inlineStr">
        <is>
          <t>Adj. EBITDA</t>
        </is>
      </c>
      <c r="C33" s="25">
        <f>C24+C27+C22*(Model!E58)</f>
        <v/>
      </c>
      <c r="D33" s="25">
        <f>D24+D27+D22*(Model!F58)</f>
        <v/>
      </c>
      <c r="E33" s="25">
        <f>E24+E27+E22*(Model!G58)</f>
        <v/>
      </c>
    </row>
    <row r="34">
      <c r="A34" t="inlineStr">
        <is>
          <t>Shareholder returns + other uses</t>
        </is>
      </c>
      <c r="C34" s="25">
        <f>C22*Model!E56+Model!E55+Model!E57</f>
        <v/>
      </c>
      <c r="D34" s="25">
        <f>D22*Model!F56+Model!F55+Model!F57</f>
        <v/>
      </c>
      <c r="E34" s="25">
        <f>E22*Model!G56+Model!G55+Model!G57</f>
        <v/>
      </c>
    </row>
    <row r="35">
      <c r="A35" t="inlineStr">
        <is>
          <t>Share of year after target date</t>
        </is>
      </c>
      <c r="C35" s="47">
        <f>IF(C19&lt;=$B$13,0,C19-MAX(C19-1,$B$13))</f>
        <v/>
      </c>
      <c r="D35" s="47">
        <f>IF(D19&lt;=$B$13,0,D19-MAX(D19-1,$B$13))</f>
        <v/>
      </c>
      <c r="E35" s="47">
        <f>IF(E19&lt;=$B$13,0,E19-MAX(E19-1,$B$13))</f>
        <v/>
      </c>
    </row>
    <row r="36">
      <c r="A36" t="inlineStr">
        <is>
          <t>PV at target date of FCFF</t>
        </is>
      </c>
      <c r="C36" s="25">
        <f>IF(C35=0,0,C31*C35/(1+$B$12)^(C19-$B$13))</f>
        <v/>
      </c>
      <c r="D36" s="25">
        <f>IF(D35=0,0,D31*D35/(1+$B$12)^(D19-$B$13))</f>
        <v/>
      </c>
      <c r="E36" s="25">
        <f>IF(E35=0,0,E31*E35/(1+$B$12)^(E19-$B$13))</f>
        <v/>
      </c>
    </row>
    <row r="37">
      <c r="A37" t="inlineStr">
        <is>
          <t>Overlap: balance date to target date</t>
        </is>
      </c>
      <c r="C37" s="47">
        <f>MAX(0,MIN(C19,$B$13)-MAX(C19-1,$B$14))</f>
        <v/>
      </c>
      <c r="D37" s="47">
        <f>MAX(0,MIN(D19,$B$13)-MAX(D19-1,$B$14))</f>
        <v/>
      </c>
      <c r="E37" s="47">
        <f>MAX(0,MIN(E19,$B$13)-MAX(E19-1,$B$14))</f>
        <v/>
      </c>
    </row>
    <row r="38">
      <c r="A38" t="inlineStr">
        <is>
          <t>NTM weight at target date</t>
        </is>
      </c>
      <c r="C38" s="47">
        <f>MAX(0,MIN(C19,$B$13+1)-MAX(C19-1,$B$13))</f>
        <v/>
      </c>
      <c r="D38" s="47">
        <f>MAX(0,MIN(D19,$B$13+1)-MAX(D19-1,$B$13))</f>
        <v/>
      </c>
      <c r="E38" s="47">
        <f>MAX(0,MIN(E19,$B$13+1)-MAX(E19-1,$B$13))</f>
        <v/>
      </c>
    </row>
    <row r="39">
      <c r="A39" t="inlineStr">
        <is>
          <t>LTM weight at target date</t>
        </is>
      </c>
      <c r="B39" s="47">
        <f>MAX(0,MIN(0,$B$13)-MAX(-1,$B$13-1))</f>
        <v/>
      </c>
      <c r="C39" s="47">
        <f>MAX(0,MIN(C19,$B$13)-MAX(C19-1,$B$13-1))</f>
        <v/>
      </c>
      <c r="D39" s="47">
        <f>MAX(0,MIN(D19,$B$13)-MAX(D19-1,$B$13-1))</f>
        <v/>
      </c>
      <c r="E39" s="47">
        <f>MAX(0,MIN(E19,$B$13)-MAX(E19-1,$B$13-1))</f>
        <v/>
      </c>
    </row>
    <row r="41">
      <c r="A41" s="21" t="inlineStr">
        <is>
          <t>Value at the target date</t>
        </is>
      </c>
    </row>
    <row r="42">
      <c r="A42" t="inlineStr">
        <is>
          <t>PV of free cash flow after the target date</t>
        </is>
      </c>
      <c r="B42" s="25">
        <f>SUM($C$36:$E$36)</f>
        <v/>
      </c>
    </row>
    <row r="43">
      <c r="A43" t="inlineStr">
        <is>
          <t>Terminal value at final year</t>
        </is>
      </c>
      <c r="B43" s="25">
        <f>IF(Valuation!$B$52="exit_multiple",Valuation!$B$54*E32,E31*(1+Valuation!$B$53)/($B$12-Valuation!$B$53))</f>
        <v/>
      </c>
    </row>
    <row r="44">
      <c r="A44" t="inlineStr">
        <is>
          <t>PV of terminal value at target date</t>
        </is>
      </c>
      <c r="B44" s="25">
        <f>B43/(1+$B$12)^($B$16-$B$13)</f>
        <v/>
      </c>
    </row>
    <row r="45">
      <c r="A45" t="inlineStr">
        <is>
          <t>DCF enterprise value at target date</t>
        </is>
      </c>
      <c r="B45" s="25">
        <f>B42+B44</f>
        <v/>
      </c>
    </row>
    <row r="46">
      <c r="A46" t="inlineStr">
        <is>
          <t>Terminal value share of DCF</t>
        </is>
      </c>
      <c r="B46" s="20">
        <f>B44/B45</f>
        <v/>
      </c>
    </row>
    <row r="47">
      <c r="A47" t="inlineStr">
        <is>
          <t>Free cash flow earned, balance date to target date</t>
        </is>
      </c>
      <c r="B47" s="25">
        <f>SUMPRODUCT($C$37:$E$37,$C$31:$E$31)</f>
        <v/>
      </c>
    </row>
    <row r="48">
      <c r="A48" t="inlineStr">
        <is>
          <t>Shareholder returns + other uses paid</t>
        </is>
      </c>
      <c r="B48" s="25">
        <f>SUMPRODUCT($C$37:$E$37,$C$34:$E$34)</f>
        <v/>
      </c>
    </row>
    <row r="49">
      <c r="A49" t="inlineStr">
        <is>
          <t>Interest drag on net debt</t>
        </is>
      </c>
      <c r="B49" s="25">
        <f>Valuation!$B$58*(1-$C$25)*MAX(Valuation!$B$56,0)*MAX($B$13-$B$14,0)</f>
        <v/>
      </c>
    </row>
    <row r="50">
      <c r="A50" t="inlineStr">
        <is>
          <t>Net debt at target date</t>
        </is>
      </c>
      <c r="B50" s="25">
        <f>IF(Valuation!$B$59="",Valuation!$B$56-B47+B49+B48,Valuation!$B$59)</f>
        <v/>
      </c>
    </row>
    <row r="51">
      <c r="A51" t="inlineStr">
        <is>
          <t>Minority interests</t>
        </is>
      </c>
      <c r="B51" s="25">
        <f>Valuation!$B$57</f>
        <v/>
      </c>
    </row>
    <row r="52">
      <c r="A52" t="inlineStr">
        <is>
          <t>Adjustments (probability-weighted)</t>
        </is>
      </c>
      <c r="B52" s="25">
        <f>0</f>
        <v/>
      </c>
    </row>
    <row r="53">
      <c r="A53" t="inlineStr">
        <is>
          <t>Diluted shares at target date (M)</t>
        </is>
      </c>
      <c r="B53" s="28">
        <f>IF(Valuation!$B$63="",Valuation!$B$60*(1+Valuation!$B$62)^MAX($B$13-$B$15,0),Valuation!$B$63)</f>
        <v/>
      </c>
    </row>
    <row r="54">
      <c r="A54" t="inlineStr">
        <is>
          <t>After-tax interest on target-date net debt</t>
        </is>
      </c>
      <c r="B54" s="25">
        <f>Valuation!$B$58*(1-$C$25)*MAX(B50,0)</f>
        <v/>
      </c>
    </row>
    <row r="55">
      <c r="A55" t="inlineStr">
        <is>
          <t>Check: WACC vs terminal growth</t>
        </is>
      </c>
      <c r="B55">
        <f>IF(AND(Valuation!$B$52&lt;&gt;"exit_multiple",$B$12&lt;=Valuation!$B$53+0.01),"WACC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5">
        <f>SUMPRODUCT($C$38:$E$38,$C$22:$E$22)</f>
        <v/>
      </c>
      <c r="C59" s="25">
        <f>SUMPRODUCT($C$39:$E$39,$C$22:$E$22)+$B$39*$B$22</f>
        <v/>
      </c>
    </row>
    <row r="60">
      <c r="A60" t="inlineStr">
        <is>
          <t>EBIT</t>
        </is>
      </c>
      <c r="B60" s="25">
        <f>SUMPRODUCT($C$38:$E$38,$C$24:$E$24)</f>
        <v/>
      </c>
      <c r="C60" s="25">
        <f>SUMPRODUCT($C$39:$E$39,$C$24:$E$24)</f>
        <v/>
      </c>
    </row>
    <row r="61">
      <c r="A61" t="inlineStr">
        <is>
          <t>EBITDA</t>
        </is>
      </c>
      <c r="B61" s="25">
        <f>SUMPRODUCT($C$38:$E$38,$C$32:$E$32)</f>
        <v/>
      </c>
      <c r="C61" s="25">
        <f>SUMPRODUCT($C$39:$E$39,$C$32:$E$32)</f>
        <v/>
      </c>
    </row>
    <row r="62">
      <c r="A62" t="inlineStr">
        <is>
          <t>Adj. EBITDA</t>
        </is>
      </c>
      <c r="B62" s="25">
        <f>SUMPRODUCT($C$38:$E$38,$C$33:$E$33)</f>
        <v/>
      </c>
      <c r="C62" s="25">
        <f>SUMPRODUCT($C$39:$E$39,$C$33:$E$33)</f>
        <v/>
      </c>
    </row>
    <row r="63">
      <c r="A63" t="inlineStr">
        <is>
          <t>NOPAT</t>
        </is>
      </c>
      <c r="B63" s="25">
        <f>SUMPRODUCT($C$38:$E$38,$C$26:$E$26)</f>
        <v/>
      </c>
      <c r="C63" s="25">
        <f>SUMPRODUCT($C$39:$E$39,$C$26:$E$26)</f>
        <v/>
      </c>
    </row>
    <row r="64">
      <c r="A64" t="inlineStr">
        <is>
          <t>Free cash flow to firm</t>
        </is>
      </c>
      <c r="B64" s="25">
        <f>SUMPRODUCT($C$38:$E$38,$C$31:$E$31)</f>
        <v/>
      </c>
      <c r="C64" s="25">
        <f>SUMPRODUCT($C$39:$E$39,$C$31:$E$31)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20">
        <f>Valuation!$B$64</f>
        <v/>
      </c>
    </row>
    <row r="68">
      <c r="A68">
        <f>"Multiple: "&amp;Valuation!A70&amp;" ("&amp;Valuation!D70&amp;")"</f>
        <v/>
      </c>
      <c r="B68">
        <f>Valuation!A70</f>
        <v/>
      </c>
      <c r="C68" s="9">
        <f>IF(B68="FCF yield",(Valuation!B70)*(1-$B$8),(Valuation!B70)+IF(B68="EV/sales",0.1,1)*$B$6)</f>
        <v/>
      </c>
      <c r="D68">
        <f>Valuation!D70</f>
        <v/>
      </c>
      <c r="E68" s="25">
        <f>IF(D68="ltm",CHOOSE(H68,$C$59,$C$60,$C$61,$C$62,$C$63,$C$64),CHOOSE(H68,$B$59,$B$60,$B$61,$B$62,$B$63,$B$64))</f>
        <v/>
      </c>
      <c r="F68" s="9">
        <f>IF(OR(B68="EV/EBITDA",B68="EV/sales",B68="EV/EBIT"),((C68*E68)-$B$50-$B$51+$B$52)/$B$53,IF(B68="P/E",IF(Valuation!F70&lt;&gt;"",C68*(Valuation!F70)*(1+$B$9),C68*(E68-$B$54)/$B$53),IF(Valuation!G70&lt;&gt;"",(Valuation!G70)*(1+$B$9)/C68,(E68-IF(Valuation!H70,$B$54,0))/C68/$B$53))+$B$52/$B$53)</f>
        <v/>
      </c>
      <c r="G68" s="20">
        <f>Valuation!C70</f>
        <v/>
      </c>
      <c r="H68">
        <f>IF(B68="EV/sales",1,IF(B68="EV/EBIT",2,IF(B68="EV/EBITDA",IF(Valuation!E70="adjusted",4,3),IF(B68="P/E",5,6))))</f>
        <v/>
      </c>
      <c r="I68" s="48">
        <f>IF(AND(B68="P/E",Valuation!F70&lt;&gt;""),(Valuation!F70)*(1+$B$9),IF(AND(B68="FCF yield",Valuation!G70&lt;&gt;""),(Valuation!G70)*(1+$B$9),E68))</f>
        <v/>
      </c>
    </row>
    <row r="69">
      <c r="A69">
        <f>"Multiple: "&amp;Valuation!A71&amp;" ("&amp;Valuation!D71&amp;")"</f>
        <v/>
      </c>
      <c r="B69">
        <f>Valuation!A71</f>
        <v/>
      </c>
      <c r="C69" s="9">
        <f>IF(B69="FCF yield",(Valuation!B71)*(1-$B$8),(Valuation!B71)+IF(B69="EV/sales",0.1,1)*$B$6)</f>
        <v/>
      </c>
      <c r="D69">
        <f>Valuation!D71</f>
        <v/>
      </c>
      <c r="E69" s="25">
        <f>IF(D69="ltm",CHOOSE(H69,$C$59,$C$60,$C$61,$C$62,$C$63,$C$64),CHOOSE(H69,$B$59,$B$60,$B$61,$B$62,$B$63,$B$64))</f>
        <v/>
      </c>
      <c r="F69" s="9">
        <f>IF(OR(B69="EV/EBITDA",B69="EV/sales",B69="EV/EBIT"),((C69*E69)-$B$50-$B$51+$B$52)/$B$53,IF(B69="P/E",IF(Valuation!F71&lt;&gt;"",C69*(Valuation!F71)*(1+$B$9),C69*(E69-$B$54)/$B$53),IF(Valuation!G71&lt;&gt;"",(Valuation!G71)*(1+$B$9)/C69,(E69-IF(Valuation!H71,$B$54,0))/C69/$B$53))+$B$52/$B$53)</f>
        <v/>
      </c>
      <c r="G69" s="20">
        <f>Valuation!C71</f>
        <v/>
      </c>
      <c r="H69">
        <f>IF(B69="EV/sales",1,IF(B69="EV/EBIT",2,IF(B69="EV/EBITDA",IF(Valuation!E71="adjusted",4,3),IF(B69="P/E",5,6))))</f>
        <v/>
      </c>
      <c r="I69" s="48">
        <f>IF(AND(B69="P/E",Valuation!F71&lt;&gt;""),(Valuation!F71)*(1+$B$9),IF(AND(B69="FCF yield",Valuation!G71&lt;&gt;""),(Valuation!G71)*(1+$B$9),E69))</f>
        <v/>
      </c>
    </row>
    <row r="70">
      <c r="A70" s="21" t="inlineStr">
        <is>
          <t>Value per share at target date (weighted methods)</t>
        </is>
      </c>
      <c r="F70" s="6">
        <f>SUMPRODUCT(F67:F69,G67:G69)/SUM(G67:G69)</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55"/>
  <sheetViews>
    <sheetView showGridLines="0" workbookViewId="0">
      <pane xSplit="1" ySplit="18" topLeftCell="B19"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s>
  <sheetData>
    <row r="1">
      <c r="A1" s="1" t="inlineStr">
        <is>
          <t>BKNG engine calculation: bull scenario</t>
        </is>
      </c>
    </row>
    <row r="2">
      <c r="A2" s="2" t="inlineStr">
        <is>
          <t>Machinery behind the Valuation and Distribution tabs; drivers come from Model, assumptions from Valuation.</t>
        </is>
      </c>
    </row>
    <row r="4">
      <c r="A4" t="inlineStr">
        <is>
          <t>Scenario Growth Δ</t>
        </is>
      </c>
      <c r="B4" s="12">
        <f>N(Valuation!C85)</f>
        <v/>
      </c>
    </row>
    <row r="5">
      <c r="A5" t="inlineStr">
        <is>
          <t>Scenario Margin Δ</t>
        </is>
      </c>
      <c r="B5" s="12">
        <f>N(Valuation!D85)</f>
        <v/>
      </c>
    </row>
    <row r="6">
      <c r="A6" t="inlineStr">
        <is>
          <t>Scenario Multiple Δ (turns)</t>
        </is>
      </c>
      <c r="B6" s="49">
        <f>N(Valuation!E85)</f>
        <v/>
      </c>
    </row>
    <row r="7">
      <c r="A7" t="inlineStr">
        <is>
          <t>Scenario WACC Δ</t>
        </is>
      </c>
      <c r="B7" s="12">
        <f>N(Valuation!F85)</f>
        <v/>
      </c>
    </row>
    <row r="8">
      <c r="A8" t="inlineStr">
        <is>
          <t>Scenario Multiple %Δ</t>
        </is>
      </c>
      <c r="B8" s="12">
        <f>N(Valuation!G85)</f>
        <v/>
      </c>
    </row>
    <row r="9">
      <c r="A9" t="inlineStr">
        <is>
          <t>Scenario Stated EPS/FCF %Δ</t>
        </is>
      </c>
      <c r="B9" s="12">
        <f>N(Valuation!H85)</f>
        <v/>
      </c>
    </row>
    <row r="10">
      <c r="A10" t="inlineStr">
        <is>
          <t>Scenario Custom %Δ</t>
        </is>
      </c>
      <c r="B10" s="12">
        <f>N(Valuation!I85)</f>
        <v/>
      </c>
    </row>
    <row r="12">
      <c r="A12" t="inlineStr">
        <is>
          <t>WACC</t>
        </is>
      </c>
      <c r="B12" s="20">
        <f>Valuation!$B$51+B7</f>
        <v/>
      </c>
    </row>
    <row r="13">
      <c r="A13" t="inlineStr">
        <is>
          <t>Years from last FY end to target date</t>
        </is>
      </c>
      <c r="B13" s="47">
        <f>(Valuation!$B$45-Valuation!$B$49)/365.25</f>
        <v/>
      </c>
    </row>
    <row r="14">
      <c r="A14" t="inlineStr">
        <is>
          <t>Years from last FY end to balance date</t>
        </is>
      </c>
      <c r="B14" s="47">
        <f>(Valuation!$B$55-Valuation!$B$49)/365.25</f>
        <v/>
      </c>
    </row>
    <row r="15">
      <c r="A15" t="inlineStr">
        <is>
          <t>Years from last FY end to share count date</t>
        </is>
      </c>
      <c r="B15" s="47">
        <f>(Valuation!$B$61-Valuation!$B$49)/365.25</f>
        <v/>
      </c>
    </row>
    <row r="16">
      <c r="A16" t="inlineStr">
        <is>
          <t>Projected years</t>
        </is>
      </c>
      <c r="B16" t="n">
        <v>3</v>
      </c>
    </row>
    <row r="18">
      <c r="A18" s="3" t="inlineStr">
        <is>
          <t>Projection</t>
        </is>
      </c>
      <c r="B18" s="3" t="inlineStr">
        <is>
          <t>Base</t>
        </is>
      </c>
      <c r="C18" s="3">
        <f>Model!E5</f>
        <v/>
      </c>
      <c r="D18" s="3">
        <f>Model!F5</f>
        <v/>
      </c>
      <c r="E18" s="3">
        <f>Model!G5</f>
        <v/>
      </c>
    </row>
    <row r="19">
      <c r="A19" t="inlineStr">
        <is>
          <t>Year index</t>
        </is>
      </c>
      <c r="B19" t="n">
        <v>0</v>
      </c>
      <c r="C19" t="n">
        <v>1</v>
      </c>
      <c r="D19" t="n">
        <v>2</v>
      </c>
      <c r="E19" t="n">
        <v>3</v>
      </c>
    </row>
    <row r="20">
      <c r="A20" t="inlineStr">
        <is>
          <t>Period end</t>
        </is>
      </c>
      <c r="C20" s="22">
        <f>Valuation!$B$49+ROUND(365.25*C19,0)</f>
        <v/>
      </c>
      <c r="D20" s="22">
        <f>Valuation!$B$49+ROUND(365.25*D19,0)</f>
        <v/>
      </c>
      <c r="E20" s="22">
        <f>Valuation!$B$49+ROUND(365.25*E19,0)</f>
        <v/>
      </c>
    </row>
    <row r="21">
      <c r="A21" t="inlineStr">
        <is>
          <t>Revenue growth</t>
        </is>
      </c>
      <c r="C21" s="20">
        <f>Model!E48+$B$4+$B$250</f>
        <v/>
      </c>
      <c r="D21" s="20">
        <f>Model!F48+$B$4</f>
        <v/>
      </c>
      <c r="E21" s="20">
        <f>Model!G48+$B$4</f>
        <v/>
      </c>
    </row>
    <row r="22">
      <c r="A22" t="inlineStr">
        <is>
          <t>Revenue</t>
        </is>
      </c>
      <c r="B22" s="25">
        <f>Valuation!$B$50</f>
        <v/>
      </c>
      <c r="C22" s="25">
        <f>B22*(1+C21)</f>
        <v/>
      </c>
      <c r="D22" s="25">
        <f>C22*(1+D21)</f>
        <v/>
      </c>
      <c r="E22" s="25">
        <f>D22*(1+E21)</f>
        <v/>
      </c>
    </row>
    <row r="23">
      <c r="A23" t="inlineStr">
        <is>
          <t>EBIT margin</t>
        </is>
      </c>
      <c r="C23" s="20">
        <f>Model!E49+$B$5+$B$251</f>
        <v/>
      </c>
      <c r="D23" s="20">
        <f>Model!F49+$B$5+$B$252</f>
        <v/>
      </c>
      <c r="E23" s="20">
        <f>Model!G49+$B$5+$B$253</f>
        <v/>
      </c>
    </row>
    <row r="24">
      <c r="A24" t="inlineStr">
        <is>
          <t>EBIT</t>
        </is>
      </c>
      <c r="C24" s="25">
        <f>C22*C23</f>
        <v/>
      </c>
      <c r="D24" s="25">
        <f>D22*D23</f>
        <v/>
      </c>
      <c r="E24" s="25">
        <f>E22*E23</f>
        <v/>
      </c>
    </row>
    <row r="25">
      <c r="A25" t="inlineStr">
        <is>
          <t>Tax rate</t>
        </is>
      </c>
      <c r="C25" s="20">
        <f>Model!E50</f>
        <v/>
      </c>
      <c r="D25" s="20">
        <f>Model!F50</f>
        <v/>
      </c>
      <c r="E25" s="20">
        <f>Model!G50</f>
        <v/>
      </c>
    </row>
    <row r="26">
      <c r="A26" t="inlineStr">
        <is>
          <t>NOPAT</t>
        </is>
      </c>
      <c r="C26" s="25">
        <f>C24*(1-C25)</f>
        <v/>
      </c>
      <c r="D26" s="25">
        <f>D24*(1-D25)</f>
        <v/>
      </c>
      <c r="E26" s="25">
        <f>E24*(1-E25)</f>
        <v/>
      </c>
    </row>
    <row r="27">
      <c r="A27" t="inlineStr">
        <is>
          <t>D&amp;A</t>
        </is>
      </c>
      <c r="C27" s="25">
        <f>C22*(Model!E51)</f>
        <v/>
      </c>
      <c r="D27" s="25">
        <f>D22*(Model!F51)</f>
        <v/>
      </c>
      <c r="E27" s="25">
        <f>E22*(Model!G51)</f>
        <v/>
      </c>
    </row>
    <row r="28">
      <c r="A28" t="inlineStr">
        <is>
          <t>Capex</t>
        </is>
      </c>
      <c r="C28" s="25">
        <f>C22*(Model!E52)</f>
        <v/>
      </c>
      <c r="D28" s="25">
        <f>D22*(Model!F52)</f>
        <v/>
      </c>
      <c r="E28" s="25">
        <f>E22*(Model!G52)</f>
        <v/>
      </c>
    </row>
    <row r="29">
      <c r="A29" t="inlineStr">
        <is>
          <t>Working capital increase</t>
        </is>
      </c>
      <c r="C29" s="25">
        <f>(Model!E53)*(C22-B22)</f>
        <v/>
      </c>
      <c r="D29" s="25">
        <f>(Model!F53)*(D22-C22)</f>
        <v/>
      </c>
      <c r="E29" s="25">
        <f>(Model!G53)*(E22-D22)</f>
        <v/>
      </c>
    </row>
    <row r="30">
      <c r="A30" t="inlineStr">
        <is>
          <t>Stock comp</t>
        </is>
      </c>
      <c r="C30" s="25">
        <f>C22*(Model!E54)</f>
        <v/>
      </c>
      <c r="D30" s="25">
        <f>D22*(Model!F54)</f>
        <v/>
      </c>
      <c r="E30" s="25">
        <f>E22*(Model!G54)</f>
        <v/>
      </c>
    </row>
    <row r="31">
      <c r="A31" t="inlineStr">
        <is>
          <t>Free cash flow to firm</t>
        </is>
      </c>
      <c r="C31" s="25">
        <f>C26+C27-C28-C29-IF(AND(Valuation!$B$47="adjusted",Valuation!$B$48="cost"),C30*(1-C25),0)</f>
        <v/>
      </c>
      <c r="D31" s="25">
        <f>D26+D27-D28-D29-IF(AND(Valuation!$B$47="adjusted",Valuation!$B$48="cost"),D30*(1-D25),0)</f>
        <v/>
      </c>
      <c r="E31" s="25">
        <f>E26+E27-E28-E29-IF(AND(Valuation!$B$47="adjusted",Valuation!$B$48="cost"),E30*(1-E25),0)</f>
        <v/>
      </c>
    </row>
    <row r="32">
      <c r="A32" t="inlineStr">
        <is>
          <t>EBITDA</t>
        </is>
      </c>
      <c r="C32" s="25">
        <f>C24+C27</f>
        <v/>
      </c>
      <c r="D32" s="25">
        <f>D24+D27</f>
        <v/>
      </c>
      <c r="E32" s="25">
        <f>E24+E27</f>
        <v/>
      </c>
    </row>
    <row r="33">
      <c r="A33" t="inlineStr">
        <is>
          <t>Adj. EBITDA</t>
        </is>
      </c>
      <c r="C33" s="25">
        <f>C24+C27+C22*(Model!E58)</f>
        <v/>
      </c>
      <c r="D33" s="25">
        <f>D24+D27+D22*(Model!F58)</f>
        <v/>
      </c>
      <c r="E33" s="25">
        <f>E24+E27+E22*(Model!G58)</f>
        <v/>
      </c>
    </row>
    <row r="34">
      <c r="A34" t="inlineStr">
        <is>
          <t>Shareholder returns + other uses</t>
        </is>
      </c>
      <c r="C34" s="25">
        <f>C22*Model!E56+Model!E55+Model!E57</f>
        <v/>
      </c>
      <c r="D34" s="25">
        <f>D22*Model!F56+Model!F55+Model!F57</f>
        <v/>
      </c>
      <c r="E34" s="25">
        <f>E22*Model!G56+Model!G55+Model!G57</f>
        <v/>
      </c>
    </row>
    <row r="35">
      <c r="A35" t="inlineStr">
        <is>
          <t>Share of year after target date</t>
        </is>
      </c>
      <c r="C35" s="47">
        <f>IF(C19&lt;=$B$13,0,C19-MAX(C19-1,$B$13))</f>
        <v/>
      </c>
      <c r="D35" s="47">
        <f>IF(D19&lt;=$B$13,0,D19-MAX(D19-1,$B$13))</f>
        <v/>
      </c>
      <c r="E35" s="47">
        <f>IF(E19&lt;=$B$13,0,E19-MAX(E19-1,$B$13))</f>
        <v/>
      </c>
    </row>
    <row r="36">
      <c r="A36" t="inlineStr">
        <is>
          <t>PV at target date of FCFF</t>
        </is>
      </c>
      <c r="C36" s="25">
        <f>IF(C35=0,0,C31*C35/(1+$B$12)^(C19-$B$13))</f>
        <v/>
      </c>
      <c r="D36" s="25">
        <f>IF(D35=0,0,D31*D35/(1+$B$12)^(D19-$B$13))</f>
        <v/>
      </c>
      <c r="E36" s="25">
        <f>IF(E35=0,0,E31*E35/(1+$B$12)^(E19-$B$13))</f>
        <v/>
      </c>
    </row>
    <row r="37">
      <c r="A37" t="inlineStr">
        <is>
          <t>Overlap: balance date to target date</t>
        </is>
      </c>
      <c r="C37" s="47">
        <f>MAX(0,MIN(C19,$B$13)-MAX(C19-1,$B$14))</f>
        <v/>
      </c>
      <c r="D37" s="47">
        <f>MAX(0,MIN(D19,$B$13)-MAX(D19-1,$B$14))</f>
        <v/>
      </c>
      <c r="E37" s="47">
        <f>MAX(0,MIN(E19,$B$13)-MAX(E19-1,$B$14))</f>
        <v/>
      </c>
    </row>
    <row r="38">
      <c r="A38" t="inlineStr">
        <is>
          <t>NTM weight at target date</t>
        </is>
      </c>
      <c r="C38" s="47">
        <f>MAX(0,MIN(C19,$B$13+1)-MAX(C19-1,$B$13))</f>
        <v/>
      </c>
      <c r="D38" s="47">
        <f>MAX(0,MIN(D19,$B$13+1)-MAX(D19-1,$B$13))</f>
        <v/>
      </c>
      <c r="E38" s="47">
        <f>MAX(0,MIN(E19,$B$13+1)-MAX(E19-1,$B$13))</f>
        <v/>
      </c>
    </row>
    <row r="39">
      <c r="A39" t="inlineStr">
        <is>
          <t>LTM weight at target date</t>
        </is>
      </c>
      <c r="B39" s="47">
        <f>MAX(0,MIN(0,$B$13)-MAX(-1,$B$13-1))</f>
        <v/>
      </c>
      <c r="C39" s="47">
        <f>MAX(0,MIN(C19,$B$13)-MAX(C19-1,$B$13-1))</f>
        <v/>
      </c>
      <c r="D39" s="47">
        <f>MAX(0,MIN(D19,$B$13)-MAX(D19-1,$B$13-1))</f>
        <v/>
      </c>
      <c r="E39" s="47">
        <f>MAX(0,MIN(E19,$B$13)-MAX(E19-1,$B$13-1))</f>
        <v/>
      </c>
    </row>
    <row r="41">
      <c r="A41" s="21" t="inlineStr">
        <is>
          <t>Value at the target date</t>
        </is>
      </c>
    </row>
    <row r="42">
      <c r="A42" t="inlineStr">
        <is>
          <t>PV of free cash flow after the target date</t>
        </is>
      </c>
      <c r="B42" s="25">
        <f>SUM($C$36:$E$36)</f>
        <v/>
      </c>
    </row>
    <row r="43">
      <c r="A43" t="inlineStr">
        <is>
          <t>Terminal value at final year</t>
        </is>
      </c>
      <c r="B43" s="25">
        <f>IF(Valuation!$B$52="exit_multiple",Valuation!$B$54*E32,E31*(1+Valuation!$B$53)/($B$12-Valuation!$B$53))</f>
        <v/>
      </c>
    </row>
    <row r="44">
      <c r="A44" t="inlineStr">
        <is>
          <t>PV of terminal value at target date</t>
        </is>
      </c>
      <c r="B44" s="25">
        <f>B43/(1+$B$12)^($B$16-$B$13)</f>
        <v/>
      </c>
    </row>
    <row r="45">
      <c r="A45" t="inlineStr">
        <is>
          <t>DCF enterprise value at target date</t>
        </is>
      </c>
      <c r="B45" s="25">
        <f>B42+B44</f>
        <v/>
      </c>
    </row>
    <row r="46">
      <c r="A46" t="inlineStr">
        <is>
          <t>Terminal value share of DCF</t>
        </is>
      </c>
      <c r="B46" s="20">
        <f>B44/B45</f>
        <v/>
      </c>
    </row>
    <row r="47">
      <c r="A47" t="inlineStr">
        <is>
          <t>Free cash flow earned, balance date to target date</t>
        </is>
      </c>
      <c r="B47" s="25">
        <f>SUMPRODUCT($C$37:$E$37,$C$31:$E$31)</f>
        <v/>
      </c>
    </row>
    <row r="48">
      <c r="A48" t="inlineStr">
        <is>
          <t>Shareholder returns + other uses paid</t>
        </is>
      </c>
      <c r="B48" s="25">
        <f>SUMPRODUCT($C$37:$E$37,$C$34:$E$34)</f>
        <v/>
      </c>
    </row>
    <row r="49">
      <c r="A49" t="inlineStr">
        <is>
          <t>Interest drag on net debt</t>
        </is>
      </c>
      <c r="B49" s="25">
        <f>Valuation!$B$58*(1-$C$25)*MAX(Valuation!$B$56,0)*MAX($B$13-$B$14,0)</f>
        <v/>
      </c>
    </row>
    <row r="50">
      <c r="A50" t="inlineStr">
        <is>
          <t>Net debt at target date</t>
        </is>
      </c>
      <c r="B50" s="25">
        <f>IF(Valuation!$B$59="",Valuation!$B$56-B47+B49+B48,Valuation!$B$59)</f>
        <v/>
      </c>
    </row>
    <row r="51">
      <c r="A51" t="inlineStr">
        <is>
          <t>Minority interests</t>
        </is>
      </c>
      <c r="B51" s="25">
        <f>Valuation!$B$57</f>
        <v/>
      </c>
    </row>
    <row r="52">
      <c r="A52" t="inlineStr">
        <is>
          <t>Adjustments (probability-weighted)</t>
        </is>
      </c>
      <c r="B52" s="25">
        <f>0</f>
        <v/>
      </c>
    </row>
    <row r="53">
      <c r="A53" t="inlineStr">
        <is>
          <t>Diluted shares at target date (M)</t>
        </is>
      </c>
      <c r="B53" s="28">
        <f>IF(Valuation!$B$63="",Valuation!$B$60*(1+Valuation!$B$62)^MAX($B$13-$B$15,0),Valuation!$B$63)</f>
        <v/>
      </c>
    </row>
    <row r="54">
      <c r="A54" t="inlineStr">
        <is>
          <t>After-tax interest on target-date net debt</t>
        </is>
      </c>
      <c r="B54" s="25">
        <f>Valuation!$B$58*(1-$C$25)*MAX(B50,0)</f>
        <v/>
      </c>
    </row>
    <row r="55">
      <c r="A55" t="inlineStr">
        <is>
          <t>Check: WACC vs terminal growth</t>
        </is>
      </c>
      <c r="B55">
        <f>IF(AND(Valuation!$B$52&lt;&gt;"exit_multiple",$B$12&lt;=Valuation!$B$53+0.01),"WACC must exceed terminal growth by 1 point","ok")</f>
        <v/>
      </c>
    </row>
    <row r="56">
      <c r="A56" t="inlineStr">
        <is>
          <t>Check: projection length</t>
        </is>
      </c>
      <c r="B56">
        <f>IF(OR($B$13&gt;=$B$16-1,$B$13+1&gt;$B$16),"add projected years past the target date","ok")</f>
        <v/>
      </c>
    </row>
    <row r="58">
      <c r="A58" s="3" t="inlineStr">
        <is>
          <t>Metric at target date</t>
        </is>
      </c>
      <c r="B58" s="3" t="inlineStr">
        <is>
          <t>Next 12 months</t>
        </is>
      </c>
      <c r="C58" s="3" t="inlineStr">
        <is>
          <t>Last 12 months</t>
        </is>
      </c>
    </row>
    <row r="59">
      <c r="A59" t="inlineStr">
        <is>
          <t>Revenue</t>
        </is>
      </c>
      <c r="B59" s="25">
        <f>SUMPRODUCT($C$38:$E$38,$C$22:$E$22)</f>
        <v/>
      </c>
      <c r="C59" s="25">
        <f>SUMPRODUCT($C$39:$E$39,$C$22:$E$22)+$B$39*$B$22</f>
        <v/>
      </c>
    </row>
    <row r="60">
      <c r="A60" t="inlineStr">
        <is>
          <t>EBIT</t>
        </is>
      </c>
      <c r="B60" s="25">
        <f>SUMPRODUCT($C$38:$E$38,$C$24:$E$24)</f>
        <v/>
      </c>
      <c r="C60" s="25">
        <f>SUMPRODUCT($C$39:$E$39,$C$24:$E$24)</f>
        <v/>
      </c>
    </row>
    <row r="61">
      <c r="A61" t="inlineStr">
        <is>
          <t>EBITDA</t>
        </is>
      </c>
      <c r="B61" s="25">
        <f>SUMPRODUCT($C$38:$E$38,$C$32:$E$32)</f>
        <v/>
      </c>
      <c r="C61" s="25">
        <f>SUMPRODUCT($C$39:$E$39,$C$32:$E$32)</f>
        <v/>
      </c>
    </row>
    <row r="62">
      <c r="A62" t="inlineStr">
        <is>
          <t>Adj. EBITDA</t>
        </is>
      </c>
      <c r="B62" s="25">
        <f>SUMPRODUCT($C$38:$E$38,$C$33:$E$33)</f>
        <v/>
      </c>
      <c r="C62" s="25">
        <f>SUMPRODUCT($C$39:$E$39,$C$33:$E$33)</f>
        <v/>
      </c>
    </row>
    <row r="63">
      <c r="A63" t="inlineStr">
        <is>
          <t>NOPAT</t>
        </is>
      </c>
      <c r="B63" s="25">
        <f>SUMPRODUCT($C$38:$E$38,$C$26:$E$26)</f>
        <v/>
      </c>
      <c r="C63" s="25">
        <f>SUMPRODUCT($C$39:$E$39,$C$26:$E$26)</f>
        <v/>
      </c>
    </row>
    <row r="64">
      <c r="A64" t="inlineStr">
        <is>
          <t>Free cash flow to firm</t>
        </is>
      </c>
      <c r="B64" s="25">
        <f>SUMPRODUCT($C$38:$E$38,$C$31:$E$31)</f>
        <v/>
      </c>
      <c r="C64" s="25">
        <f>SUMPRODUCT($C$39:$E$39,$C$31:$E$31)</f>
        <v/>
      </c>
    </row>
    <row r="66">
      <c r="A66" s="3" t="inlineStr">
        <is>
          <t>Valuation method</t>
        </is>
      </c>
      <c r="B66" s="3" t="inlineStr">
        <is>
          <t>Metric</t>
        </is>
      </c>
      <c r="C66" s="3" t="inlineStr">
        <is>
          <t>Multiple used</t>
        </is>
      </c>
      <c r="D66" s="3" t="inlineStr">
        <is>
          <t>Basis</t>
        </is>
      </c>
      <c r="E66" s="3" t="inlineStr">
        <is>
          <t>Metric at target date</t>
        </is>
      </c>
      <c r="F66" s="3" t="inlineStr">
        <is>
          <t>Value per share</t>
        </is>
      </c>
      <c r="G66" s="3" t="inlineStr">
        <is>
          <t>Weight</t>
        </is>
      </c>
      <c r="H66" s="3" t="inlineStr">
        <is>
          <t>Metric key</t>
        </is>
      </c>
      <c r="I66" s="3" t="inlineStr">
        <is>
          <t>Metric shown (stated per-share figure when used)</t>
        </is>
      </c>
    </row>
    <row r="67">
      <c r="A67" t="inlineStr">
        <is>
          <t>DCF (cash flow to target date + terminal)</t>
        </is>
      </c>
      <c r="F67" s="9">
        <f>((B45)-$B$50-$B$51+$B$52)/$B$53</f>
        <v/>
      </c>
      <c r="G67" s="20">
        <f>Valuation!$B$64</f>
        <v/>
      </c>
    </row>
    <row r="68">
      <c r="A68">
        <f>"Multiple: "&amp;Valuation!A70&amp;" ("&amp;Valuation!D70&amp;")"</f>
        <v/>
      </c>
      <c r="B68">
        <f>Valuation!A70</f>
        <v/>
      </c>
      <c r="C68" s="9">
        <f>IF(B68="FCF yield",(Valuation!B70)*(1-$B$8),(Valuation!B70)+IF(B68="EV/sales",0.1,1)*$B$6)</f>
        <v/>
      </c>
      <c r="D68">
        <f>Valuation!D70</f>
        <v/>
      </c>
      <c r="E68" s="25">
        <f>IF(D68="ltm",CHOOSE(H68,$C$59,$C$60,$C$61,$C$62,$C$63,$C$64),CHOOSE(H68,$B$59,$B$60,$B$61,$B$62,$B$63,$B$64))</f>
        <v/>
      </c>
      <c r="F68" s="9">
        <f>IF(OR(B68="EV/EBITDA",B68="EV/sales",B68="EV/EBIT"),((C68*E68)-$B$50-$B$51+$B$52)/$B$53,IF(B68="P/E",IF(Valuation!F70&lt;&gt;"",C68*(Valuation!F70+$B$254)*(1+$B$9),C68*(E68-$B$54)/$B$53),IF(Valuation!G70&lt;&gt;"",(Valuation!G70)*(1+$B$9)/C68,(E68-IF(Valuation!H70,$B$54,0))/C68/$B$53))+$B$52/$B$53)</f>
        <v/>
      </c>
      <c r="G68" s="20">
        <f>Valuation!C70</f>
        <v/>
      </c>
      <c r="H68">
        <f>IF(B68="EV/sales",1,IF(B68="EV/EBIT",2,IF(B68="EV/EBITDA",IF(Valuation!E70="adjusted",4,3),IF(B68="P/E",5,6))))</f>
        <v/>
      </c>
      <c r="I68" s="48">
        <f>IF(AND(B68="P/E",Valuation!F70&lt;&gt;""),(Valuation!F70+$B$254)*(1+$B$9),IF(AND(B68="FCF yield",Valuation!G70&lt;&gt;""),(Valuation!G70)*(1+$B$9),E68))</f>
        <v/>
      </c>
    </row>
    <row r="69">
      <c r="A69">
        <f>"Multiple: "&amp;Valuation!A71&amp;" ("&amp;Valuation!D71&amp;")"</f>
        <v/>
      </c>
      <c r="B69">
        <f>Valuation!A71</f>
        <v/>
      </c>
      <c r="C69" s="9">
        <f>IF(B69="FCF yield",(Valuation!B71)*(1-$B$8),(Valuation!B71)+IF(B69="EV/sales",0.1,1)*$B$6)</f>
        <v/>
      </c>
      <c r="D69">
        <f>Valuation!D71</f>
        <v/>
      </c>
      <c r="E69" s="25">
        <f>IF(D69="ltm",CHOOSE(H69,$C$59,$C$60,$C$61,$C$62,$C$63,$C$64),CHOOSE(H69,$B$59,$B$60,$B$61,$B$62,$B$63,$B$64))</f>
        <v/>
      </c>
      <c r="F69" s="9">
        <f>IF(OR(B69="EV/EBITDA",B69="EV/sales",B69="EV/EBIT"),((C69*E69)-$B$50-$B$51+$B$52)/$B$53,IF(B69="P/E",IF(Valuation!F71&lt;&gt;"",C69*(Valuation!F71)*(1+$B$9),C69*(E69-$B$54)/$B$53),IF(Valuation!G71&lt;&gt;"",(Valuation!G71+$B$255)*(1+$B$9)/C69,(E69-IF(Valuation!H71,$B$54,0))/C69/$B$53))+$B$52/$B$53)</f>
        <v/>
      </c>
      <c r="G69" s="20">
        <f>Valuation!C71</f>
        <v/>
      </c>
      <c r="H69">
        <f>IF(B69="EV/sales",1,IF(B69="EV/EBIT",2,IF(B69="EV/EBITDA",IF(Valuation!E71="adjusted",4,3),IF(B69="P/E",5,6))))</f>
        <v/>
      </c>
      <c r="I69" s="48">
        <f>IF(AND(B69="P/E",Valuation!F71&lt;&gt;""),(Valuation!F71)*(1+$B$9),IF(AND(B69="FCF yield",Valuation!G71&lt;&gt;""),(Valuation!G71+$B$255)*(1+$B$9),E69))</f>
        <v/>
      </c>
    </row>
    <row r="70">
      <c r="A70" s="21" t="inlineStr">
        <is>
          <t>Value per share at target date (weighted methods)</t>
        </is>
      </c>
      <c r="F70" s="6">
        <f>SUMPRODUCT(F67:F69,G67:G69)/SUM(G67:G69)</f>
        <v/>
      </c>
    </row>
    <row r="249">
      <c r="A249" s="21" t="inlineStr">
        <is>
          <t>Driver scenario shifts: line-item changes model_drivers.py resolves from this scenario's driver deltas (added to the Model tab inputs)</t>
        </is>
      </c>
    </row>
    <row r="250">
      <c r="A250" t="inlineStr">
        <is>
          <t>Revenue growth, year 1</t>
        </is>
      </c>
      <c r="B250" s="50" t="n">
        <v>0.0161656663996439</v>
      </c>
    </row>
    <row r="251">
      <c r="A251" t="inlineStr">
        <is>
          <t>EBIT margin, year 1</t>
        </is>
      </c>
      <c r="B251" s="50" t="n">
        <v>0.004000000000000004</v>
      </c>
    </row>
    <row r="252">
      <c r="A252" t="inlineStr">
        <is>
          <t>EBIT margin, year 2</t>
        </is>
      </c>
      <c r="B252" s="50" t="n">
        <v>0.004000000000000004</v>
      </c>
    </row>
    <row r="253">
      <c r="A253" t="inlineStr">
        <is>
          <t>EBIT margin, year 3</t>
        </is>
      </c>
      <c r="B253" s="50" t="n">
        <v>0.004000000000000004</v>
      </c>
    </row>
    <row r="254">
      <c r="A254" t="inlineStr">
        <is>
          <t>Stated EPS, multiple 1</t>
        </is>
      </c>
      <c r="B254" s="50" t="n">
        <v>0.3459469621127429</v>
      </c>
    </row>
    <row r="255">
      <c r="A255" t="inlineStr">
        <is>
          <t>Stated FCF/share, multiple 2</t>
        </is>
      </c>
      <c r="B255" s="50" t="n">
        <v>0.4130324464224788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
  <sheetViews>
    <sheetView showGridLines="0" workbookViewId="0">
      <selection activeCell="A1" sqref="A1"/>
    </sheetView>
  </sheetViews>
  <sheetFormatPr baseColWidth="8" defaultRowHeight="15"/>
  <cols>
    <col width="14" customWidth="1" min="1" max="1"/>
    <col width="34" customWidth="1" min="12" max="12"/>
    <col width="70" customWidth="1" min="13" max="13"/>
  </cols>
  <sheetData>
    <row r="1">
      <c r="A1" s="1" t="inlineStr">
        <is>
          <t>BKNG: each forecaster's own assumption set through the same engine (from model_engine.json, not live)</t>
        </is>
      </c>
    </row>
    <row r="3">
      <c r="A3" s="3" t="inlineStr">
        <is>
          <t>Set</t>
        </is>
      </c>
      <c r="B3" s="3" t="inlineStr">
        <is>
          <t>Research target (12m)</t>
        </is>
      </c>
      <c r="C3" s="3" t="inlineStr">
        <is>
          <t>Median</t>
        </is>
      </c>
      <c r="D3" s="3" t="inlineStr">
        <is>
          <t>25th pct</t>
        </is>
      </c>
      <c r="E3" s="3" t="inlineStr">
        <is>
          <t>75th pct</t>
        </is>
      </c>
      <c r="F3" s="3" t="inlineStr">
        <is>
          <t>WACC</t>
        </is>
      </c>
      <c r="G3" s="3" t="inlineStr">
        <is>
          <t>Y1 growth</t>
        </is>
      </c>
      <c r="H3" s="3" t="inlineStr">
        <is>
          <t>Y1 margin</t>
        </is>
      </c>
      <c r="I3" s="3" t="inlineStr">
        <is>
          <t>Terminal growth</t>
        </is>
      </c>
      <c r="J3" s="3" t="inlineStr">
        <is>
          <t>DCF weight</t>
        </is>
      </c>
      <c r="K3" s="3" t="inlineStr">
        <is>
          <t>Years</t>
        </is>
      </c>
      <c r="L3" s="3" t="inlineStr">
        <is>
          <t>Multiples</t>
        </is>
      </c>
      <c r="M3" s="3" t="inlineStr">
        <is>
          <t>Supervisor's note</t>
        </is>
      </c>
    </row>
    <row r="4">
      <c r="A4" t="inlineStr">
        <is>
          <t>supervisor</t>
        </is>
      </c>
      <c r="B4" s="9" t="n">
        <v>183.2851905237281</v>
      </c>
      <c r="C4" s="9" t="n">
        <v>170.2395387691438</v>
      </c>
      <c r="D4" s="9" t="n">
        <v>128.3913007096962</v>
      </c>
      <c r="E4" s="9" t="n">
        <v>218.6560834763868</v>
      </c>
      <c r="F4" s="20" t="n">
        <v>0.0864</v>
      </c>
      <c r="G4" s="20" t="n">
        <v>0.07771109330959503</v>
      </c>
      <c r="H4" s="20" t="n">
        <v>0.3246804903531378</v>
      </c>
      <c r="I4" s="20" t="n">
        <v>0.03</v>
      </c>
      <c r="J4" s="20" t="n">
        <v>0</v>
      </c>
      <c r="K4" t="n">
        <v>3</v>
      </c>
      <c r="L4" t="inlineStr">
        <is>
          <t>P/E 13.32 (ntm); FCF yield 0.08 (ntm)</t>
        </is>
      </c>
      <c r="M4" s="42" t="inlineStr"/>
    </row>
    <row r="5">
      <c r="A5" t="inlineStr">
        <is>
          <t>agent_1</t>
        </is>
      </c>
      <c r="M5" t="inlineStr">
        <is>
          <t>engine error: no model_inputs found</t>
        </is>
      </c>
    </row>
    <row r="6">
      <c r="A6" t="inlineStr">
        <is>
          <t>agent_2</t>
        </is>
      </c>
      <c r="M6" t="inlineStr">
        <is>
          <t>engine error: no model_inputs found</t>
        </is>
      </c>
    </row>
    <row r="7">
      <c r="A7" t="inlineStr">
        <is>
          <t>agent_3</t>
        </is>
      </c>
      <c r="M7" t="inlineStr">
        <is>
          <t>engine error: no model_inputs found</t>
        </is>
      </c>
    </row>
    <row r="8">
      <c r="A8" t="inlineStr">
        <is>
          <t>agent_4</t>
        </is>
      </c>
      <c r="M8" t="inlineStr">
        <is>
          <t>engine error: no model_inputs found</t>
        </is>
      </c>
    </row>
    <row r="9">
      <c r="A9" t="inlineStr">
        <is>
          <t>agent_5</t>
        </is>
      </c>
      <c r="M9" t="inlineStr">
        <is>
          <t>engine error: no model_inputs found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81"/>
  <sheetViews>
    <sheetView showGridLines="0" workbookViewId="0">
      <selection activeCell="A1" sqref="A1"/>
    </sheetView>
  </sheetViews>
  <sheetFormatPr baseColWidth="8" defaultRowHeight="15"/>
  <cols>
    <col width="34" customWidth="1" min="1" max="1"/>
    <col width="50" customWidth="1" min="2" max="2"/>
    <col width="40" customWidth="1" min="4" max="4"/>
    <col width="70" customWidth="1" min="6" max="6"/>
  </cols>
  <sheetData>
    <row r="1">
      <c r="A1" s="1" t="inlineStr">
        <is>
          <t>BKNG: where each input comes from (source numbers point to the list below; F ids to the SEC fact table)</t>
        </is>
      </c>
    </row>
    <row r="3">
      <c r="A3" s="3" t="inlineStr">
        <is>
          <t>Input</t>
        </is>
      </c>
      <c r="B3" s="3" t="inlineStr">
        <is>
          <t>Value</t>
        </is>
      </c>
      <c r="C3" s="3" t="inlineStr">
        <is>
          <t>Basis</t>
        </is>
      </c>
      <c r="D3" s="3" t="inlineStr">
        <is>
          <t>Sources</t>
        </is>
      </c>
      <c r="E3" s="3" t="inlineStr">
        <is>
          <t>SEC fact ids</t>
        </is>
      </c>
      <c r="F3" s="3" t="inlineStr">
        <is>
          <t>Derivation</t>
        </is>
      </c>
    </row>
    <row r="4">
      <c r="A4" s="42" t="inlineStr">
        <is>
          <t>Base revenue FY2025</t>
        </is>
      </c>
      <c r="B4" t="inlineStr">
        <is>
          <t>$26,917M</t>
        </is>
      </c>
      <c r="C4" t="inlineStr">
        <is>
          <t>reported</t>
        </is>
      </c>
      <c r="D4" t="inlineStr"/>
      <c r="E4" t="inlineStr">
        <is>
          <t>F3</t>
        </is>
      </c>
      <c r="F4" s="42" t="inlineStr">
        <is>
          <t>filled in (not stated in this set's original work): FY2025 us-gaap:Revenues from the 10-K (fact pack F3).</t>
        </is>
      </c>
    </row>
    <row r="5">
      <c r="A5" s="42" t="inlineStr">
        <is>
          <t>FY2026 revenue growth</t>
        </is>
      </c>
      <c r="B5" t="inlineStr">
        <is>
          <t>driver-determined: rn x gbrn x take (drivers)</t>
        </is>
      </c>
      <c r="C5" t="inlineStr">
        <is>
          <t>driver</t>
        </is>
      </c>
      <c r="D5" t="inlineStr">
        <is>
          <t>1</t>
        </is>
      </c>
      <c r="E5" t="inlineStr"/>
      <c r="F5" s="42" t="inlineStr">
        <is>
          <t>Now computed from drivers (rn, gbrn, take, mkt, opex, sh), each cited to the FY2025 10-K / Q2 2026 10-Q in drivers[]. Old: The supervisor did not settle revenue growth, so this is the forecasters' median of their backfilled sets (1: 0.08, 2: 0.08, 3: 0.08, 4: 0.08, 5: 0.08). The supervisor's key drivers cite the FY26 guide (low-to-mid-teens EPS growth) and a Q3 bookings guide of +5-7% CC in line with Expedia.</t>
        </is>
      </c>
    </row>
    <row r="6">
      <c r="A6" s="42" t="inlineStr">
        <is>
          <t>FY2027 revenue growth</t>
        </is>
      </c>
      <c r="B6" t="inlineStr">
        <is>
          <t>driver-determined: rn x gbrn x take (drivers)</t>
        </is>
      </c>
      <c r="C6" t="inlineStr">
        <is>
          <t>driver</t>
        </is>
      </c>
      <c r="D6" t="inlineStr">
        <is>
          <t>1, 3, 4</t>
        </is>
      </c>
      <c r="E6" t="inlineStr"/>
      <c r="F6" s="42" t="inlineStr">
        <is>
          <t>Now computed from drivers (rn, gbrn, take, mkt, opex, sh), each cited to the FY2025 10-K / Q2 2026 10-Q in drivers[]. Old: The supervisor did not settle revenue growth, so this is the forecasters' median of their backfilled sets (1: 0.075, 2: 0.08, 3: 0.065, 4: 0.08, 5: 0.08). The supervisor's key drivers cite the FY26 guide (low-to-mid-teens EPS growth) and a Q3 bookings guide of +5-7% CC in line with Expedia.</t>
        </is>
      </c>
    </row>
    <row r="7">
      <c r="A7" s="42" t="inlineStr">
        <is>
          <t>FY2028 revenue growth</t>
        </is>
      </c>
      <c r="B7" t="inlineStr">
        <is>
          <t>driver-determined: rn x gbrn x take (drivers)</t>
        </is>
      </c>
      <c r="C7" t="inlineStr">
        <is>
          <t>driver</t>
        </is>
      </c>
      <c r="D7" t="inlineStr">
        <is>
          <t>1</t>
        </is>
      </c>
      <c r="E7" t="inlineStr"/>
      <c r="F7" s="42" t="inlineStr">
        <is>
          <t>Now computed from drivers (rn, gbrn, take, mkt, opex, sh), each cited to the FY2025 10-K / Q2 2026 10-Q in drivers[]. Old: The supervisor did not settle revenue growth, so this is the forecasters' median of their backfilled sets (1: 0.075, 2: 0.075, 3: 0.05, 4: 0.06, 5: 0.075). The supervisor's key drivers cite the FY26 guide (low-to-mid-teens EPS growth) and a Q3 bookings guide of +5-7% CC in line with Expedia.</t>
        </is>
      </c>
    </row>
    <row r="8">
      <c r="A8" s="42" t="inlineStr">
        <is>
          <t>EBIT margin (GAAP, after SBC), all years</t>
        </is>
      </c>
      <c r="B8" t="inlineStr">
        <is>
          <t>driver-determined: 1 - mkt/take - opex - 0.0246 (FY2025 impairment 457 + transformation 205 / 26,917, 10-K)</t>
        </is>
      </c>
      <c r="C8" t="inlineStr">
        <is>
          <t>driver</t>
        </is>
      </c>
      <c r="D8" t="inlineStr">
        <is>
          <t>2</t>
        </is>
      </c>
      <c r="E8" t="inlineStr">
        <is>
          <t>F13, F6</t>
        </is>
      </c>
      <c r="F8" s="42" t="inlineStr">
        <is>
          <t>Now computed from drivers (rn, gbrn, take, mkt, opex, sh), each cited to the FY2025 10-K / Q2 2026 10-Q in drivers[]. Old: filled in (not stated in this set's original work): TTM GAAP operating income to 2026-06-30 / TTM revenue = 9,284 / 28,241 = 32.9%, held flat. No forecaster or the supervisor states a margin path; the forecasters' sets all hold it flat.</t>
        </is>
      </c>
    </row>
    <row r="9">
      <c r="A9" s="42" t="inlineStr">
        <is>
          <t>Tax rate</t>
        </is>
      </c>
      <c r="B9" t="inlineStr">
        <is>
          <t>0.224</t>
        </is>
      </c>
      <c r="C9" t="inlineStr">
        <is>
          <t>reported</t>
        </is>
      </c>
      <c r="D9" t="inlineStr">
        <is>
          <t>2</t>
        </is>
      </c>
      <c r="E9" t="inlineStr">
        <is>
          <t>F74, F81</t>
        </is>
      </c>
      <c r="F9" s="42" t="inlineStr">
        <is>
          <t>filled in (not stated in this set's original work): TTM income tax / TTM pretax income to 2026-06-30 = 2,082 / 9,291 = 22.4% (FY2025 was 1,428 / 6,832 = 20.9%, F71/F78).</t>
        </is>
      </c>
    </row>
    <row r="10">
      <c r="A10" s="42" t="inlineStr">
        <is>
          <t>D&amp;A % revenue</t>
        </is>
      </c>
      <c r="B10" t="inlineStr">
        <is>
          <t>0.02</t>
        </is>
      </c>
      <c r="C10" t="inlineStr">
        <is>
          <t>reported</t>
        </is>
      </c>
      <c r="D10" t="inlineStr">
        <is>
          <t>2</t>
        </is>
      </c>
      <c r="E10" t="inlineStr">
        <is>
          <t>F32, F6</t>
        </is>
      </c>
      <c r="F10" s="42" t="inlineStr">
        <is>
          <t>filled in (not stated in this set's original work): TTM D&amp;A / TTM revenue = 571 / 28,241 = 2.0%.</t>
        </is>
      </c>
    </row>
    <row r="11">
      <c r="A11" s="42" t="inlineStr">
        <is>
          <t>Capex % revenue</t>
        </is>
      </c>
      <c r="B11" t="inlineStr">
        <is>
          <t>0.0113</t>
        </is>
      </c>
      <c r="C11" t="inlineStr">
        <is>
          <t>reported</t>
        </is>
      </c>
      <c r="D11" t="inlineStr">
        <is>
          <t>2</t>
        </is>
      </c>
      <c r="E11" t="inlineStr">
        <is>
          <t>F46, F6</t>
        </is>
      </c>
      <c r="F11" s="42" t="inlineStr">
        <is>
          <t>filled in (not stated in this set's original work): TTM capex / TTM revenue = 320 / 28,241 = 1.13%.</t>
        </is>
      </c>
    </row>
    <row r="12">
      <c r="A12" s="42" t="inlineStr">
        <is>
          <t>Working capital % of revenue increase</t>
        </is>
      </c>
      <c r="B12" t="inlineStr">
        <is>
          <t>0.0</t>
        </is>
      </c>
      <c r="C12" t="inlineStr">
        <is>
          <t>judgment</t>
        </is>
      </c>
      <c r="D12" t="inlineStr"/>
      <c r="E12" t="inlineStr"/>
      <c r="F12" s="42" t="inlineStr">
        <is>
          <t>filled in (not stated in this set's original work): the fact pack has no working-capital tags. Agents 1 and 3 cite the deferred-merchant-bookings swing ($10.1B at Q2 vs $5.3B at year-end; $4.2B H1 inflow), which is seasonal, so no annual float is assumed (conservative for the diagnostic DCF).</t>
        </is>
      </c>
    </row>
    <row r="13">
      <c r="A13" s="42" t="inlineStr">
        <is>
          <t>SBC % revenue</t>
        </is>
      </c>
      <c r="B13" t="inlineStr">
        <is>
          <t>0.020</t>
        </is>
      </c>
      <c r="C13" t="inlineStr">
        <is>
          <t>reported</t>
        </is>
      </c>
      <c r="D13" t="inlineStr">
        <is>
          <t>2</t>
        </is>
      </c>
      <c r="E13" t="inlineStr">
        <is>
          <t>F6</t>
        </is>
      </c>
      <c r="F13" s="42" t="inlineStr">
        <is>
          <t>Supervisor: '10-Q (SBC $281M H1)'; reported SBC ~$0.56-0.6B/yr. H1 2026 SBC $281M (10-Q) annualised = $562M / TTM revenue 28,241 = 2.0%. Not deducted again: EBIT is GAAP after SBC.</t>
        </is>
      </c>
    </row>
    <row r="14">
      <c r="A14" s="42" t="inlineStr">
        <is>
          <t>Shareholder returns per year</t>
        </is>
      </c>
      <c r="B14" t="inlineStr">
        <is>
          <t>$10,000M</t>
        </is>
      </c>
      <c r="C14" t="inlineStr">
        <is>
          <t>estimate</t>
        </is>
      </c>
      <c r="D14" t="inlineStr">
        <is>
          <t>1, 2</t>
        </is>
      </c>
      <c r="E14" t="inlineStr">
        <is>
          <t>F60</t>
        </is>
      </c>
      <c r="F14" s="42" t="inlineStr">
        <is>
          <t>The supervisor did not settle the cash amount (its key drivers give ~6%/yr net shrink, 44M retired in H1, $14.5B authorization), so this is the forecasters' median: agents 1-4 state ~$10B FCF less ~$1.3B dividends, all returned (dividends TTM $1,281M, F60).</t>
        </is>
      </c>
    </row>
    <row r="15">
      <c r="A15" s="42" t="inlineStr">
        <is>
          <t>Terminal growth (Gordon)</t>
        </is>
      </c>
      <c r="B15" t="inlineStr">
        <is>
          <t>0.03</t>
        </is>
      </c>
      <c r="C15" t="inlineStr">
        <is>
          <t>judgment</t>
        </is>
      </c>
      <c r="D15" t="inlineStr"/>
      <c r="E15" t="inlineStr"/>
      <c r="F15" s="42" t="inlineStr">
        <is>
          <t>filled in (not stated in this set's original work): no terminal growth is stated in this run's work. Taken from the low end of the 3-5% long-run FCF growth the share price implies, a figure agent_1 cites (its source 14, Quality Stocks Substack, 2026-09-14). The low end is used because a perpetual rate above ~3% nominal is hard to defend.</t>
        </is>
      </c>
    </row>
    <row r="16">
      <c r="A16" s="42" t="inlineStr">
        <is>
          <t>WACC</t>
        </is>
      </c>
      <c r="B16" t="inlineStr">
        <is>
          <t>0.0864</t>
        </is>
      </c>
      <c r="C16" t="inlineStr">
        <is>
          <t>estimate</t>
        </is>
      </c>
      <c r="D16" t="inlineStr"/>
      <c r="E16" t="inlineStr">
        <is>
          <t>F89, F67, F88</t>
        </is>
      </c>
      <c r="F16" s="42" t="inlineStr">
        <is>
          <t>filled in (not stated in this set's original work): cost of equity 0.0875 = T-bill 0.0420 + beta 0.91 x 5% (the price target's market leg, 2026-10-02); after-tax debt 0.0550 x (1 - 0.224) on net debt and minorities 2,966 vs equity 119,488 (751.40M x $159.02) -&gt; WACC 0.0864</t>
        </is>
      </c>
    </row>
    <row r="17">
      <c r="A17" s="42" t="inlineStr">
        <is>
          <t>Net debt at balance date</t>
        </is>
      </c>
      <c r="B17" t="inlineStr">
        <is>
          <t>$2,966M (2026-06-30)</t>
        </is>
      </c>
      <c r="C17" t="inlineStr">
        <is>
          <t>reported</t>
        </is>
      </c>
      <c r="D17" t="inlineStr">
        <is>
          <t>2</t>
        </is>
      </c>
      <c r="E17" t="inlineStr">
        <is>
          <t>F89, F88, F83</t>
        </is>
      </c>
      <c r="F17" s="42" t="inlineStr">
        <is>
          <t>Supervisor fair-value reason: 'no net-debt double count'. Net debt is ~$3B at Q2 and seasonally flattered (agents). Fact pack: 20,180 - 17,214 = 2,966 (F89).</t>
        </is>
      </c>
    </row>
    <row r="18">
      <c r="A18" s="42" t="inlineStr">
        <is>
          <t>Net debt at horizon</t>
        </is>
      </c>
      <c r="B18" t="inlineStr">
        <is>
          <t>$2,966M</t>
        </is>
      </c>
      <c r="C18" t="inlineStr">
        <is>
          <t>estimate</t>
        </is>
      </c>
      <c r="D18" t="inlineStr">
        <is>
          <t>1, 2</t>
        </is>
      </c>
      <c r="E18" t="inlineStr">
        <is>
          <t>F89</t>
        </is>
      </c>
      <c r="F18" s="42" t="inlineStr">
        <is>
          <t>filled in (not stated in this set's original work): held at today's level. The agents state that ~$10B of FCF is returned in full (~$1.3B dividends plus buybacks), so net debt stays roughly flat. Q2 net debt is seasonally flattered by merchant float (~$1.5B at YE25, per agents 1 and 3). This affects only the zero-weight DCF leg.</t>
        </is>
      </c>
    </row>
    <row r="19">
      <c r="A19" s="42" t="inlineStr">
        <is>
          <t>Interest rate on net debt</t>
        </is>
      </c>
      <c r="B19" t="inlineStr">
        <is>
          <t>0.055</t>
        </is>
      </c>
      <c r="C19" t="inlineStr">
        <is>
          <t>reported</t>
        </is>
      </c>
      <c r="D19" t="inlineStr">
        <is>
          <t>2</t>
        </is>
      </c>
      <c r="E19" t="inlineStr">
        <is>
          <t>F67, F88</t>
        </is>
      </c>
      <c r="F19" s="42" t="inlineStr">
        <is>
          <t>filled in (not stated in this set's original work): TTM interest expense / total debt = 1,103 / 20,180 = 5.5%.</t>
        </is>
      </c>
    </row>
    <row r="20">
      <c r="A20" s="42" t="inlineStr">
        <is>
          <t>Minorities</t>
        </is>
      </c>
      <c r="B20" t="inlineStr">
        <is>
          <t>0</t>
        </is>
      </c>
      <c r="C20" t="inlineStr">
        <is>
          <t>reported</t>
        </is>
      </c>
      <c r="D20" t="inlineStr">
        <is>
          <t>2</t>
        </is>
      </c>
      <c r="E20" t="inlineStr"/>
      <c r="F20" s="42" t="inlineStr">
        <is>
          <t>filled in (not stated in this set's original work): no noncontrolling interest in the fact pack or in any agent file.</t>
        </is>
      </c>
    </row>
    <row r="21">
      <c r="A21" s="42" t="inlineStr">
        <is>
          <t>Shares now</t>
        </is>
      </c>
      <c r="B21" t="inlineStr">
        <is>
          <t>751.4M at 2026-07-27</t>
        </is>
      </c>
      <c r="C21" t="inlineStr">
        <is>
          <t>reported</t>
        </is>
      </c>
      <c r="D21" t="inlineStr">
        <is>
          <t>2</t>
        </is>
      </c>
      <c r="E21" t="inlineStr">
        <is>
          <t>F87</t>
        </is>
      </c>
      <c r="F21" s="42" t="inlineStr">
        <is>
          <t>10-Q cover count, the base every agent uses (Q2 diluted weighted average was 770M, F26; the agents treat that figure as lagging).</t>
        </is>
      </c>
    </row>
    <row r="22">
      <c r="A22" s="42" t="inlineStr">
        <is>
          <t>Annual share change</t>
        </is>
      </c>
      <c r="B22" t="inlineStr">
        <is>
          <t>-0.06</t>
        </is>
      </c>
      <c r="C22" t="inlineStr">
        <is>
          <t>estimate</t>
        </is>
      </c>
      <c r="D22" t="inlineStr">
        <is>
          <t>2, 1</t>
        </is>
      </c>
      <c r="E22" t="inlineStr"/>
      <c r="F22" s="42" t="inlineStr">
        <is>
          <t>Supervisor key drivers: '~6%/yr net shrink' from 751.4M on Jul 27, 2026.</t>
        </is>
      </c>
    </row>
    <row r="23">
      <c r="A23" s="42" t="inlineStr">
        <is>
          <t>Shares at horizon (Oct 2027)</t>
        </is>
      </c>
      <c r="B23" t="inlineStr">
        <is>
          <t>driver-determined: interpolated from driver sh</t>
        </is>
      </c>
      <c r="C23" t="inlineStr">
        <is>
          <t>driver</t>
        </is>
      </c>
      <c r="D23" t="inlineStr">
        <is>
          <t>2, 1</t>
        </is>
      </c>
      <c r="E23" t="inlineStr">
        <is>
          <t>F87</t>
        </is>
      </c>
      <c r="F23" s="42" t="inlineStr">
        <is>
          <t>Now computed from drivers (rn, gbrn, take, mkt, opex, sh), each cited to the FY2025 10-K / Q2 2026 10-Q in drivers[]. Old: Supervisor cross-check: '~708M shares' at Oct 2027 (the agents' range was 705-715M).</t>
        </is>
      </c>
    </row>
    <row r="24">
      <c r="A24" s="42" t="inlineStr">
        <is>
          <t>NTM adj EPS at Oct 2027 (P/E leg eps)</t>
        </is>
      </c>
      <c r="B24" t="inlineStr">
        <is>
          <t>driver-determined: driver_build.set expression (see driver_build.note)</t>
        </is>
      </c>
      <c r="C24" t="inlineStr">
        <is>
          <t>driver</t>
        </is>
      </c>
      <c r="D24" t="inlineStr">
        <is>
          <t>10, 1</t>
        </is>
      </c>
      <c r="E24" t="inlineStr"/>
      <c r="F24" s="42" t="inlineStr">
        <is>
          <t>Now computed from drivers (rn, gbrn, take, mkt, opex, sh), each cited to the FY2025 10-K / Q2 2026 10-Q in drivers[]. Old: Supervisor cross-check '~$13.1 NTM EPS at Oct 2027' (FY27 consensus $12.37 less a 2.5-5% haircut, mean ~3.7%; FY28 ~+12.5-13%). Agents' range is $12.75-13.25.</t>
        </is>
      </c>
    </row>
    <row r="25">
      <c r="A25" s="42" t="inlineStr">
        <is>
          <t>FY2027 consensus adj EPS</t>
        </is>
      </c>
      <c r="B25" t="inlineStr">
        <is>
          <t>$12.37</t>
        </is>
      </c>
      <c r="C25" t="inlineStr">
        <is>
          <t>consensus</t>
        </is>
      </c>
      <c r="D25" t="inlineStr">
        <is>
          <t>10</t>
        </is>
      </c>
      <c r="E25" t="inlineStr"/>
      <c r="F25" s="42" t="inlineStr">
        <is>
          <t>StockAnalysis, Sep 24, 2026. The supervisor's Oct 2 re-check could not re-confirm the FY27 row (immaterial).</t>
        </is>
      </c>
    </row>
    <row r="26">
      <c r="A26" s="42" t="inlineStr">
        <is>
          <t>FY2027 haircut to consensus</t>
        </is>
      </c>
      <c r="B26" t="inlineStr">
        <is>
          <t>2.5-5% (mean ~3.7%)</t>
        </is>
      </c>
      <c r="C26" t="inlineStr">
        <is>
          <t>judgment</t>
        </is>
      </c>
      <c r="D26" t="inlineStr">
        <is>
          <t>1, 3, 4</t>
        </is>
      </c>
      <c r="E26" t="inlineStr"/>
      <c r="F26" s="42" t="inlineStr">
        <is>
          <t>Supervisor disagreement resolution: a 2.5-5% range is defensible; the mean stands.</t>
        </is>
      </c>
    </row>
    <row r="27">
      <c r="A27" s="42" t="inlineStr">
        <is>
          <t>EXPE consensus EPS FY2026 / FY2027</t>
        </is>
      </c>
      <c r="B27" t="inlineStr">
        <is>
          <t>$17.35 (8 est.) / $20.47 (10 est.)</t>
        </is>
      </c>
      <c r="C27" t="inlineStr">
        <is>
          <t>consensus</t>
        </is>
      </c>
      <c r="D27" t="inlineStr">
        <is>
          <t>12, 21</t>
        </is>
      </c>
      <c r="E27" t="inlineStr"/>
      <c r="F27" s="42" t="inlineStr">
        <is>
          <t>Nasdaq.com earnings forecast (Zacks consensus), yearly rows; snapshot data/estimates/EXPE.json retrieved 2026-10-26. Basis: Zacks's EXPE EPS is Expedia's adjusted EPS with SBC expensed, not the company's adjusted figure: Zacks Q4-25 $3.10 vs company adjusted $3.78 and GAAP $1.60; $3.78 less after-tax SBC 105 x (1 - 0.21) / 126.394M = $0.66 gives $3.12, within $0.02 of Zacks. So this consensus is already on BKNG's basis (adjusted, SBC in costs) and needs no restatement.</t>
        </is>
      </c>
    </row>
    <row r="28">
      <c r="A28" s="42" t="inlineStr">
        <is>
          <t>ABNB consensus EPS FY2026 / FY2027</t>
        </is>
      </c>
      <c r="B28" t="inlineStr">
        <is>
          <t>$5.29 (14 est.) / $6.30 (15 est.)</t>
        </is>
      </c>
      <c r="C28" t="inlineStr">
        <is>
          <t>consensus</t>
        </is>
      </c>
      <c r="D28" t="inlineStr">
        <is>
          <t>13, 23, 25</t>
        </is>
      </c>
      <c r="E28" t="inlineStr"/>
      <c r="F28" s="42" t="inlineStr">
        <is>
          <t>Nasdaq.com earnings forecast (Zacks consensus), yearly rows; snapshot data/estimates/ABNB.json retrieved 2026-10-26. Basis: GAAP. Zacks's Q2-26 actual $1.37 = GAAP $816M / 597.0M diluted shares (10-Q). Airbnb publishes no adjusted EPS, so GAAP is its only earnings measure; SBC is in costs as for BKNG, and the items BKNG's adjusted EPS removes (acquired-intangible amortisation, impairments, debt FX remeasurement, convertible marks) are not material for Airbnb, so GAAP is the nearest available match to BKNG's basis. ABNB is the high outlier and does not set the median either way (EXPE and Amadeus alone give 14.66x). Evidence that GAAP is close to BKNG's basis for Airbnb: in FY2025 the item types BKNG's adjusted EPS removes were small at Airbnb (impairments $30M = 1.2% of net income; other non-operating $112M = 4.5%; no goodwill or intangible impairment; 10-K XBRL, source 25), so Airbnb's GAAP EPS would sit at most ~6% from an adjusted figure, while ABNB's EPS would have to be ~90% higher to change the median.</t>
        </is>
      </c>
    </row>
    <row r="29">
      <c r="A29" s="42" t="inlineStr">
        <is>
          <t>BKNG consensus adj EPS FY2026 / FY2027</t>
        </is>
      </c>
      <c r="B29" t="inlineStr">
        <is>
          <t>$10.48 (16 est.) / $12.36 (16 est.)</t>
        </is>
      </c>
      <c r="C29" t="inlineStr">
        <is>
          <t>consensus</t>
        </is>
      </c>
      <c r="D29" t="inlineStr">
        <is>
          <t>15, 22</t>
        </is>
      </c>
      <c r="E29" t="inlineStr"/>
      <c r="F29" s="42" t="inlineStr">
        <is>
          <t>Nasdaq.com earnings forecast (Zacks consensus), yearly rows; snapshot data/estimates/BKNG.json retrieved 2026-10-26. Basis: company adjusted EPS (SBC stays in costs): Zacks Q4-25 $1.95 = adjusted $48.80 / 25 (GAAP would be $1.77).</t>
        </is>
      </c>
    </row>
    <row r="30">
      <c r="A30" s="42" t="inlineStr">
        <is>
          <t>Zacks reported EPS actual, EXPE Q4-25 (consensus basis check)</t>
        </is>
      </c>
      <c r="B30" t="inlineStr">
        <is>
          <t>$3.10</t>
        </is>
      </c>
      <c r="C30" t="inlineStr">
        <is>
          <t>reported</t>
        </is>
      </c>
      <c r="D30" t="inlineStr">
        <is>
          <t>21</t>
        </is>
      </c>
      <c r="E30" t="inlineStr"/>
      <c r="F30" s="42" t="inlineStr">
        <is>
          <t>Nasdaq.com earnings-surprise table: the actual Zacks records for the quarter (aggregator; Zacks keeps its consensus on the same basis). Used only to identify the consensus EPS basis against the company's own figures.</t>
        </is>
      </c>
    </row>
    <row r="31">
      <c r="A31" s="42" t="inlineStr">
        <is>
          <t>Zacks reported EPS actual, BKNG Q4-25 (consensus basis check)</t>
        </is>
      </c>
      <c r="B31" t="inlineStr">
        <is>
          <t>$1.95</t>
        </is>
      </c>
      <c r="C31" t="inlineStr">
        <is>
          <t>reported</t>
        </is>
      </c>
      <c r="D31" t="inlineStr">
        <is>
          <t>22</t>
        </is>
      </c>
      <c r="E31" t="inlineStr"/>
      <c r="F31" s="42" t="inlineStr">
        <is>
          <t>Nasdaq.com earnings-surprise table: the actual Zacks records for the quarter (aggregator; Zacks keeps its consensus on the same basis). Used only to identify the consensus EPS basis against the company's own figures.</t>
        </is>
      </c>
    </row>
    <row r="32">
      <c r="A32" s="42" t="inlineStr">
        <is>
          <t>Zacks reported EPS actual, ABNB Q2-26 (consensus basis check)</t>
        </is>
      </c>
      <c r="B32" t="inlineStr">
        <is>
          <t>$1.37</t>
        </is>
      </c>
      <c r="C32" t="inlineStr">
        <is>
          <t>reported</t>
        </is>
      </c>
      <c r="D32" t="inlineStr">
        <is>
          <t>23</t>
        </is>
      </c>
      <c r="E32" t="inlineStr"/>
      <c r="F32" s="42" t="inlineStr">
        <is>
          <t>Nasdaq.com earnings-surprise table: the actual Zacks records for the quarter (aggregator; Zacks keeps its consensus on the same basis). Used only to identify the consensus EPS basis against the company's own figures.</t>
        </is>
      </c>
    </row>
    <row r="33">
      <c r="A33" s="42" t="inlineStr">
        <is>
          <t>ABNB FY2025 items of the kinds BKNG adjusts out</t>
        </is>
      </c>
      <c r="B33" t="inlineStr">
        <is>
          <t>net income $2,511M; goodwill, intangible and long-lived asset impairment $0; equity-security impairment $30M (1.2% of net income); other non-operating expense $112M (4.5%)</t>
        </is>
      </c>
      <c r="C33" t="inlineStr">
        <is>
          <t>reported</t>
        </is>
      </c>
      <c r="D33" t="inlineStr">
        <is>
          <t>25</t>
        </is>
      </c>
      <c r="E33" t="inlineStr"/>
      <c r="F33" s="42" t="inlineStr">
        <is>
          <t>Airbnb FY2025 10-K XBRL (accession 0001559720-26-000004): GoodwillImpairmentLoss 0, ImpairmentOfIntangibleAssetsExcludingGoodwill 0, ImpairmentOfLongLivedAssetsHeldForUse 0, EquitySecuritiesWithoutReadilyDeterminableFairValueImpairmentLossAnnualAmount 30, OtherNonoperatingIncomeExpense -112, NetIncomeLoss 2,511 ($M); 30 / 2,511 = 1.2%, 112 / 2,511 = 4.5%.</t>
        </is>
      </c>
    </row>
    <row r="34">
      <c r="A34" s="42" t="inlineStr">
        <is>
          <t>EXPE Q4 2025 EPS: adjusted / GAAP / SBC</t>
        </is>
      </c>
      <c r="B34" t="inlineStr">
        <is>
          <t>$3.78 adjusted; $1.60 GAAP diluted; SBC $105M ($0.82/sh); adjusted shares 126,394k</t>
        </is>
      </c>
      <c r="C34" t="inlineStr">
        <is>
          <t>reported</t>
        </is>
      </c>
      <c r="D34" t="inlineStr">
        <is>
          <t>18</t>
        </is>
      </c>
      <c r="E34" t="inlineStr"/>
      <c r="F34" s="42" t="inlineStr">
        <is>
          <t>Expedia Q4/FY2025 release (8-K Ex.99.1), adjusted net income reconciliation, three months ended 2025-12-31.</t>
        </is>
      </c>
    </row>
    <row r="35">
      <c r="A35" s="42" t="inlineStr">
        <is>
          <t>BKNG Q4 2025 adjusted EPS (pre-split)</t>
        </is>
      </c>
      <c r="B35" t="inlineStr">
        <is>
          <t>$48.80 pre-split = $1.952 post 25-for-1 split (2026-04-02)</t>
        </is>
      </c>
      <c r="C35" t="inlineStr">
        <is>
          <t>reported</t>
        </is>
      </c>
      <c r="D35" t="inlineStr">
        <is>
          <t>19, 2</t>
        </is>
      </c>
      <c r="E35" t="inlineStr"/>
      <c r="F35" s="42" t="inlineStr">
        <is>
          <t>Booking Q4/FY2025 release (8-K Ex.99.1, 2026-02-18) adjusted EPS $48.80 (GAAP $44.22); split 25-for-1 effective 2026-04-02 (Q2 2026 10-Q equity note); 48.80 / 25 = 1.952.</t>
        </is>
      </c>
    </row>
    <row r="36">
      <c r="A36" s="42" t="inlineStr">
        <is>
          <t>ABNB Q2 2026 GAAP net income / diluted shares</t>
        </is>
      </c>
      <c r="B36" t="inlineStr">
        <is>
          <t>$816M / 597.0M = $1.37 per diluted share</t>
        </is>
      </c>
      <c r="C36" t="inlineStr">
        <is>
          <t>reported</t>
        </is>
      </c>
      <c r="D36" t="inlineStr">
        <is>
          <t>25</t>
        </is>
      </c>
      <c r="E36" t="inlineStr"/>
      <c r="F36" s="42" t="inlineStr">
        <is>
          <t>Airbnb 10-Q for the quarter ended 2026-06-30 (us-gaap NetIncomeLoss 816.0M; WeightedAverageNumberOfDilutedSharesOutstanding 597.0M), read via secfacts.py; 816 / 597 = 1.367.</t>
        </is>
      </c>
    </row>
    <row r="37">
      <c r="A37" s="42" t="inlineStr">
        <is>
          <t>Amadeus consensus EPS 2026e / 2027e and last price</t>
        </is>
      </c>
      <c r="B37" t="inlineStr">
        <is>
          <t>EUR 3.257 / EUR 3.683 (22 analysts; reported IFRS basis); EUR 56.60 close 2026-10-23</t>
        </is>
      </c>
      <c r="C37" t="inlineStr">
        <is>
          <t>consensus</t>
        </is>
      </c>
      <c r="D37" t="inlineStr">
        <is>
          <t>16</t>
        </is>
      </c>
      <c r="E37" t="inlineStr"/>
      <c r="F37" s="42" t="inlineStr">
        <is>
          <t>MarketScreener finances page, EPS row and quote header. The page does not label the basis; its 2025 actual 3.01 equals reported (IFRS) diluted EPS in the FY2025 release (adjusted diluted 3.20), so this consensus is on the reported basis. It is an input only: the P/E row restates it to adjusted (x 3.20 / 3.01) before it enters the median, so the median is not mixed.</t>
        </is>
      </c>
    </row>
    <row r="38">
      <c r="A38" s="42" t="inlineStr">
        <is>
          <t>Amadeus FY2025 diluted EPS reported / adjusted</t>
        </is>
      </c>
      <c r="B38" t="inlineStr">
        <is>
          <t>EUR 3.01 / EUR 3.20</t>
        </is>
      </c>
      <c r="C38" t="inlineStr">
        <is>
          <t>reported</t>
        </is>
      </c>
      <c r="D38" t="inlineStr">
        <is>
          <t>17</t>
        </is>
      </c>
      <c r="E38" t="inlineStr"/>
      <c r="F38" s="42" t="inlineStr">
        <is>
          <t>Amadeus FY2025 results press release, 2026-02-27, key figures table.</t>
        </is>
      </c>
    </row>
    <row r="39">
      <c r="A39" s="42" t="inlineStr">
        <is>
          <t>BKNG adjusted EPS treatment of SBC</t>
        </is>
      </c>
      <c r="B39" t="inlineStr">
        <is>
          <t>no stock-based compensation add-back (FY2025 SBC $613M in personnel expense)</t>
        </is>
      </c>
      <c r="C39" t="inlineStr">
        <is>
          <t>reported</t>
        </is>
      </c>
      <c r="D39" t="inlineStr">
        <is>
          <t>19</t>
        </is>
      </c>
      <c r="E39" t="inlineStr"/>
      <c r="F39" s="42" t="inlineStr">
        <is>
          <t>Booking Q4/FY2025 earnings release (8-K Ex.99.1), net income to adjusted net income reconciliation (items a-m) and income statement footnote.</t>
        </is>
      </c>
    </row>
    <row r="40">
      <c r="A40" s="42" t="inlineStr">
        <is>
          <t>EXPE price 2026-10-23 close</t>
        </is>
      </c>
      <c r="B40" t="inlineStr">
        <is>
          <t>289.01</t>
        </is>
      </c>
      <c r="C40" t="inlineStr">
        <is>
          <t>reported</t>
        </is>
      </c>
      <c r="D40" t="inlineStr">
        <is>
          <t>20</t>
        </is>
      </c>
      <c r="E40" t="inlineStr">
        <is>
          <t>EXPE.price</t>
        </is>
      </c>
      <c r="F40" s="42" t="inlineStr">
        <is>
          <t>peers.py table (Yahoo chart feed last close).</t>
        </is>
      </c>
    </row>
    <row r="41">
      <c r="A41" s="42" t="inlineStr">
        <is>
          <t>ABNB price 2026-10-23 close</t>
        </is>
      </c>
      <c r="B41" t="inlineStr">
        <is>
          <t>172.01</t>
        </is>
      </c>
      <c r="C41" t="inlineStr">
        <is>
          <t>reported</t>
        </is>
      </c>
      <c r="D41" t="inlineStr">
        <is>
          <t>20</t>
        </is>
      </c>
      <c r="E41" t="inlineStr">
        <is>
          <t>ABNB.price</t>
        </is>
      </c>
      <c r="F41" s="42" t="inlineStr">
        <is>
          <t>peers.py table (Yahoo chart feed last close).</t>
        </is>
      </c>
    </row>
    <row r="42">
      <c r="A42" s="42" t="inlineStr">
        <is>
          <t>BKNG price 2026-10-23 close</t>
        </is>
      </c>
      <c r="B42" t="inlineStr">
        <is>
          <t>155.83</t>
        </is>
      </c>
      <c r="C42" t="inlineStr">
        <is>
          <t>reported</t>
        </is>
      </c>
      <c r="D42" t="inlineStr">
        <is>
          <t>20</t>
        </is>
      </c>
      <c r="E42" t="inlineStr"/>
      <c r="F42" s="42" t="inlineStr">
        <is>
          <t>Yahoo chart feed, https://query1.finance.yahoo.com/v8/finance/chart/BKNG?range=5d&amp;interval=1d, regularMarketPrice.</t>
        </is>
      </c>
    </row>
    <row r="43">
      <c r="A43" s="42" t="inlineStr">
        <is>
          <t>Peer EXPE NTM P/E (Zacks basis, SBC expensed)</t>
        </is>
      </c>
      <c r="B43" t="inlineStr">
        <is>
          <t>14.54x</t>
        </is>
      </c>
      <c r="C43" t="inlineStr">
        <is>
          <t>estimate</t>
        </is>
      </c>
      <c r="D43" t="inlineStr">
        <is>
          <t>12, 21, 18, 20</t>
        </is>
      </c>
      <c r="E43" t="inlineStr">
        <is>
          <t>EXPE.price</t>
        </is>
      </c>
      <c r="F43" s="42" t="inlineStr">
        <is>
          <t>Price $289.01 (2026-10-23 close, peers.py EXPE.price). Zacks consensus EPS FY26 $17.35, FY27 $20.47; calendar NTM from the 2026-10-23 close = 0.189 x FY2026 + 0.811 x FY2027 = $19.88 -&gt; 14.54x. Zacks's EXPE basis is adjusted EPS with SBC expensed (see 'EXPE consensus EPS' and the Q4-25 basis check), the same as BKNG's adjusted EPS, so no restatement. Gate fix 2026-10-26: an earlier version restated this to 17.19x by deducting SBC a second time.</t>
        </is>
      </c>
    </row>
    <row r="44">
      <c r="A44" s="42" t="inlineStr">
        <is>
          <t>Peer Amadeus (AMS.MC) NTM P/E (adjusted basis)</t>
        </is>
      </c>
      <c r="B44" t="inlineStr">
        <is>
          <t>14.78x</t>
        </is>
      </c>
      <c r="C44" t="inlineStr">
        <is>
          <t>estimate</t>
        </is>
      </c>
      <c r="D44" t="inlineStr">
        <is>
          <t>16, 17</t>
        </is>
      </c>
      <c r="E44" t="inlineStr"/>
      <c r="F44" s="42" t="inlineStr">
        <is>
          <t>Home listing (BME, EUR; the AMADY ADR has no Nasdaq consensus rows). Price EUR 56.60 (2026-10-23 close, MarketScreener). MarketScreener consensus EPS 2026e EUR 3.257, 2027e EUR 3.683 (22 analysts); calendar NTM from the 2026-10-23 close = 0.189 x FY2026 + 0.811 x FY2027 (69 of 365 days left in FY2026) = EUR 3.6025 -&gt; 15.71x. MarketScreener's EPS is Amadeus's reported (IFRS) basis: its 2025 figure 3.01 equals reported diluted EPS in the FY2025 release, where adjusted diluted EPS is 3.20 (adjusted profit excludes items such as purchase-price amortisation, as BKNG's adjusted EPS excludes intangibles amortisation; neither adds back SBC, so adjusted is BKNG's basis). Restated with the FY25 ratio 3.20 / 3.01 = 1.0631: EUR 3.8299 -&gt; 56.60 / 3.8299 = 14.78x.</t>
        </is>
      </c>
    </row>
    <row r="45">
      <c r="A45" s="42" t="inlineStr">
        <is>
          <t>Peer ABNB NTM P/E</t>
        </is>
      </c>
      <c r="B45" t="inlineStr">
        <is>
          <t>28.16x</t>
        </is>
      </c>
      <c r="C45" t="inlineStr">
        <is>
          <t>estimate</t>
        </is>
      </c>
      <c r="D45" t="inlineStr">
        <is>
          <t>13, 20, 25</t>
        </is>
      </c>
      <c r="E45" t="inlineStr">
        <is>
          <t>ABNB.price</t>
        </is>
      </c>
      <c r="F45" s="42" t="inlineStr">
        <is>
          <t>Price $172.01 (2026-10-23 close, peers.py ABNB.price). Zacks consensus EPS FY26 $5.29, FY27 $6.30; calendar NTM from the 2026-10-23 close = 0.189 x FY2026 + 0.811 x FY2027 (69 of 365 days left in FY2026) = $6.1091 -&gt; 28.16x. Basis GAAP (see 'ABNB consensus EPS'): Airbnb has no adjusted EPS; SBC in costs as for BKNG.</t>
        </is>
      </c>
    </row>
    <row r="46">
      <c r="A46" s="42" t="inlineStr">
        <is>
          <t>BKNG own NTM P/E (same basis)</t>
        </is>
      </c>
      <c r="B46" t="inlineStr">
        <is>
          <t>12.98x</t>
        </is>
      </c>
      <c r="C46" t="inlineStr">
        <is>
          <t>estimate</t>
        </is>
      </c>
      <c r="D46" t="inlineStr">
        <is>
          <t>15, 20</t>
        </is>
      </c>
      <c r="E46" t="inlineStr"/>
      <c r="F46" s="42" t="inlineStr">
        <is>
          <t>Price $155.83 (2026-10-23 close). Zacks consensus adj EPS FY26 $10.48, FY27 $12.36; calendar NTM from the 2026-10-23 close = 0.189 x FY2026 + 0.811 x FY2027 (69 of 365 days left in FY2026) = $12.0046 -&gt; 12.98x.</t>
        </is>
      </c>
    </row>
    <row r="47">
      <c r="A47" s="42" t="inlineStr">
        <is>
          <t>NTM P/E</t>
        </is>
      </c>
      <c r="B47" t="inlineStr">
        <is>
          <t>13.32x</t>
        </is>
      </c>
      <c r="C47" t="inlineStr">
        <is>
          <t>estimate</t>
        </is>
      </c>
      <c r="D47" t="inlineStr">
        <is>
          <t>12, 13, 16, 25</t>
        </is>
      </c>
      <c r="E47" t="inlineStr"/>
      <c r="F47" s="42" t="inlineStr">
        <is>
          <t>Exit-multiple rule (Kilian card 2026-10-26 12:16Z; METHOD.md Peer comparables): exit = peer median x (own NTM multiple / peer median)^k, k = 0.8. Peer median 14.78x (unchanged, gated 2026-10-26: see the rest of this derivation). Own multiple 12.98x on the peers' basis: BKNG $155.83 / calendar-NTM Zacks adj EPS $12.0046 = 12.98x (row 'BKNG own NTM P/E (same basis)'). Exit = 14.78 x (12.98 / 14.78)^0.8 = 14.78 x 0.9013 = 13.32x (was 14.78x). The FCF-yield leg (8%, today's TTM yield) already sits at BKNG's own level and has no peer median; unchanged. PREVIOUS DERIVATION: Median of the approved OTA/travel-tech set (Kilian 2026-10-26 06:07Z; card 06:20Z 'peer median') on BKNG's EPS basis (adjusted, SBC in costs), calendar NTM at the 2026-10-23 close: EXPE 14.54x, Amadeus 14.78x, ABNB 28.16x -&gt; median 14.78x. Set at the median: no persistence case on evidence for BKNG's own 12.98x discount. Old: 14.25x (supervisor's 14-14.5x, own trading level, no peer basis). UBER is out of the set: mobility and delivery, and its consensus is GAAP including investment marks and tax one-offs (Zacks Q3-25 $3.11 vs $0.67 consensus), so it is not on BKNG's basis. ABNB is on GAAP, which sits within ~6% of an adjusted figure for Airbnb (FY2025 10-K: impairments 1.2%, other non-operating 4.5% of net income; see 'ABNB FY2025 items'), so the median is on one basis in substance; ABNB is the high outlier and does not set it.</t>
        </is>
      </c>
    </row>
    <row r="48">
      <c r="A48" s="42" t="inlineStr">
        <is>
          <t>FCF per share NTM at Oct 2027 (FCF leg)</t>
        </is>
      </c>
      <c r="B48" t="inlineStr">
        <is>
          <t>driver-determined: driver_build.set expression</t>
        </is>
      </c>
      <c r="C48" t="inlineStr">
        <is>
          <t>driver</t>
        </is>
      </c>
      <c r="D48" t="inlineStr">
        <is>
          <t>1, 2</t>
        </is>
      </c>
      <c r="E48" t="inlineStr"/>
      <c r="F48" s="42" t="inlineStr">
        <is>
          <t>Now computed from drivers (rn, gbrn, take, mkt, opex, sh), each cited to the FY2025 10-K / Q2 2026 10-Q in drivers[]. Old: Supervisor: '~$11.2B NTM FCF / ~708M shares = ~$15.8'.</t>
        </is>
      </c>
    </row>
    <row r="49">
      <c r="A49" s="42" t="inlineStr">
        <is>
          <t>NTM FCF at Oct 2027</t>
        </is>
      </c>
      <c r="B49" t="inlineStr">
        <is>
          <t>driver-determined: adj NI x 1.2225 from drivers</t>
        </is>
      </c>
      <c r="C49" t="inlineStr">
        <is>
          <t>driver</t>
        </is>
      </c>
      <c r="D49" t="inlineStr">
        <is>
          <t>1</t>
        </is>
      </c>
      <c r="E49" t="inlineStr">
        <is>
          <t>F91</t>
        </is>
      </c>
      <c r="F49" s="42" t="inlineStr">
        <is>
          <t>Now computed from drivers (rn, gbrn, take, mkt, opex, sh), each cited to the FY2025 10-K / Q2 2026 10-Q in drivers[]. Old: Supervisor cross-check, between agent 1's $11.4B and agents 2/4 ($11.0B / $10.75B); TTM FCF to Q2 2026 is $9,539M (F91).</t>
        </is>
      </c>
    </row>
    <row r="50">
      <c r="A50" s="42" t="inlineStr">
        <is>
          <t>FCF yield</t>
        </is>
      </c>
      <c r="B50" t="inlineStr">
        <is>
          <t>8%</t>
        </is>
      </c>
      <c r="C50" t="inlineStr">
        <is>
          <t>judgment</t>
        </is>
      </c>
      <c r="D50" t="inlineStr">
        <is>
          <t>1, 2</t>
        </is>
      </c>
      <c r="E50" t="inlineStr"/>
      <c r="F50" s="42" t="inlineStr">
        <is>
          <t>Supervisor: '~8% on ~$16 FCF/share'; today's TTM yield, no re-rating.</t>
        </is>
      </c>
    </row>
    <row r="51">
      <c r="A51" s="42" t="inlineStr">
        <is>
          <t>Leg weights</t>
        </is>
      </c>
      <c r="B51" t="inlineStr">
        <is>
          <t>P/E 0.6, FCF yield 0.4, DCF 0</t>
        </is>
      </c>
      <c r="C51" t="inlineStr">
        <is>
          <t>judgment</t>
        </is>
      </c>
      <c r="D51" t="inlineStr"/>
      <c r="E51" t="inlineStr"/>
      <c r="F51" s="42" t="inlineStr">
        <is>
          <t>Supervisor fair_value.reason: 'a 60/40 blend gives ~$191' (P/E / FCF yield); no DCF in the original work.</t>
        </is>
      </c>
    </row>
    <row r="52">
      <c r="A52" s="42" t="inlineStr">
        <is>
          <t>Scenario bear</t>
        </is>
      </c>
      <c r="B52" t="inlineStr">
        <is>
          <t>price $115, prob 0.25, deltas {"eps_pct": -0.1221, "multiple": -4.25, "multiple_pct": -0.5076}</t>
        </is>
      </c>
      <c r="C52" t="inlineStr">
        <is>
          <t>judgment</t>
        </is>
      </c>
      <c r="D52" t="inlineStr">
        <is>
          <t>10, 1, 11</t>
        </is>
      </c>
      <c r="E52" t="inlineStr"/>
      <c r="F52" s="42" t="inlineStr">
        <is>
          <t>Scenario price and probability are the forecasters' median of their own scenarios (the supervisor set none); story EPS and multiple are the forecasters' medians too. P/E leg: NTM EPS $11.5 (eps_pct vs $13.1) x 10.0x (multiple delta vs 14.25x) = $115.0. The FCF-yield leg is scaled by eps_pct and its yield moved by multiple_pct so the blend lands on the stated $115 (FCF leg $115.0); the story gives no separate FCF-yield figure. Peer refresh 2026-10-26: the multiple delta -4.25x is kept as argued in x-turns and now applies to the 14.78x base multiple (P/E leg multiple 10.53x); the forecasters' stated scenario prices above are their own, at the old 14.25x base.</t>
        </is>
      </c>
    </row>
    <row r="53">
      <c r="A53" s="42" t="inlineStr">
        <is>
          <t>Scenario base</t>
        </is>
      </c>
      <c r="B53" t="inlineStr">
        <is>
          <t>price $183, prob 0.5, deltas {"multiple": -0.25, "multiple_pct": -0.0828}</t>
        </is>
      </c>
      <c r="C53" t="inlineStr">
        <is>
          <t>judgment</t>
        </is>
      </c>
      <c r="D53" t="inlineStr">
        <is>
          <t>10, 1, 11</t>
        </is>
      </c>
      <c r="E53" t="inlineStr"/>
      <c r="F53" s="42" t="inlineStr">
        <is>
          <t>Scenario price and probability are the forecasters' median of their own scenarios (the supervisor set none); story EPS and multiple are the forecasters' medians too. P/E leg: NTM EPS $13.1 (eps_pct vs $13.1) x 14.0x (multiple delta vs 14.25x) = $183.4. The FCF-yield leg is scaled by eps_pct and its yield moved by multiple_pct so the blend lands on the stated $183 (FCF leg $182.4); the story gives no separate FCF-yield figure. Peer refresh 2026-10-26: the multiple delta -0.25x is kept as argued in x-turns and now applies to the 14.78x base multiple (P/E leg multiple 14.53x); the forecasters' stated scenario prices above are their own, at the old 14.25x base.</t>
        </is>
      </c>
    </row>
    <row r="54">
      <c r="A54" s="42" t="inlineStr">
        <is>
          <t>Scenario bull</t>
        </is>
      </c>
      <c r="B54" t="inlineStr">
        <is>
          <t>price $238, prob 0.25, deltas {"eps_pct": 0.0267, "multiple": 3.25, "multiple_pct": 0.1619}</t>
        </is>
      </c>
      <c r="C54" t="inlineStr">
        <is>
          <t>judgment</t>
        </is>
      </c>
      <c r="D54" t="inlineStr">
        <is>
          <t>10, 1, 11</t>
        </is>
      </c>
      <c r="E54" t="inlineStr"/>
      <c r="F54" s="42" t="inlineStr">
        <is>
          <t>Scenario price and probability are the forecasters' median of their own scenarios (the supervisor set none); story EPS and multiple are the forecasters' medians too. P/E leg: NTM EPS $13.45 (eps_pct vs $13.1) x 17.5x (multiple delta vs 14.25x) = $235.4. The FCF-yield leg is scaled by eps_pct and its yield moved by multiple_pct so the blend lands on the stated $238 (FCF leg $241.9); the story gives no separate FCF-yield figure. Peer refresh 2026-10-26: the multiple delta +3.25x is kept as argued in x-turns and now applies to the 14.78x base multiple (P/E leg multiple 18.03x); the forecasters' stated scenario prices above are their own, at the old 14.25x base.</t>
        </is>
      </c>
    </row>
    <row r="55">
      <c r="A55" s="42" t="inlineStr">
        <is>
          <t>scenario_vol (within-scenario spread)</t>
        </is>
      </c>
      <c r="B55" t="inlineStr">
        <is>
          <t>0.275</t>
        </is>
      </c>
      <c r="C55" t="inlineStr">
        <is>
          <t>judgment</t>
        </is>
      </c>
      <c r="D55" t="inlineStr">
        <is>
          <t>10, 1, 11</t>
        </is>
      </c>
      <c r="E55" t="inlineStr"/>
      <c r="F55" s="42" t="inlineStr">
        <is>
          <t>Supervisor: the stock's vol is ~37-39% (sizing reason; its ladder is the agents' mean, median ~$174), so 0.38 is taken as the total. The scenarios and spread are the forecasters' median because the supervisor did not set its own. Between-scenario log spread of the stated prices = 0.262; within = sqrt(total^2 - between^2) = 0.275.</t>
        </is>
      </c>
    </row>
    <row r="56">
      <c r="A56" s="42" t="inlineStr">
        <is>
          <t>driver:rn</t>
        </is>
      </c>
      <c r="B56" t="inlineStr">
        <is>
          <t>Room nights reserved (all brands): 1,235 -&gt; 1,294/1,359/1,427 (estimate)</t>
        </is>
      </c>
      <c r="C56" t="inlineStr">
        <is>
          <t>estimate</t>
        </is>
      </c>
      <c r="D56" t="inlineStr"/>
      <c r="E56" t="inlineStr"/>
      <c r="F56" s="42" t="inlineStr">
        <is>
          <t>FY26 = H1 662 (10-Q) + H2 2025 608 (1,235 - 627) x 1.04 (Q3 guide midpoint +4%, Q4 assumed alike) = 1,294.3 (+4.8%). FY27 and FY28 +5%/yr = the agents' 'mid-single-digit room nights' (agents 1 and 4 base; median of stated views). Variant: +3%/yr after FY26 (Middle East/oil, Fed hikes; agent 4 bear 'low single digits') = FY28 1,373 (-3.8%), FV $184.4 (-3.3%).</t>
        </is>
      </c>
    </row>
    <row r="57">
      <c r="A57" s="42" t="inlineStr">
        <is>
          <t>driver:gbrn</t>
        </is>
      </c>
      <c r="B57" t="inlineStr">
        <is>
          <t>Gross bookings per room night (total gross bookings incl. car/flights / room nights): 150.7 -&gt; 156.1/159.2/162.4 (estimate)</t>
        </is>
      </c>
      <c r="C57" t="inlineStr">
        <is>
          <t>estimate</t>
        </is>
      </c>
      <c r="D57" t="inlineStr"/>
      <c r="E57" t="inlineStr"/>
      <c r="F57" s="42" t="inlineStr">
        <is>
          <t>FY26 GB = H1 104,716 + H2 2025 92,701 (186,107 - 93,406) x 1.05 (Q3 GB guide midpoint) = 202,052 / 1,294.3 = $156.11 (+3.6%, H1 FX tailwind). FY27/FY28 +2%/yr = Q2 2026 constant-currency ADR +2% (10-Q), no FX. No agent states a per-night number; agent 2 implies GB about 1pt ahead of room nights in Q3 (GB +4-6% vs RN +3-5%). Variant: +1%/yr (ADR flat cc as in FY2025, 10-K) = FV $187.5 (-1.7%).</t>
        </is>
      </c>
    </row>
    <row r="58">
      <c r="A58" s="42" t="inlineStr">
        <is>
          <t>driver:take</t>
        </is>
      </c>
      <c r="B58" t="inlineStr">
        <is>
          <t>Take rate (total revenues / total gross bookings): 0.1446 -&gt; 0.1436/0.144/0.1445 (estimate)</t>
        </is>
      </c>
      <c r="C58" t="inlineStr">
        <is>
          <t>estimate</t>
        </is>
      </c>
      <c r="D58" t="inlineStr"/>
      <c r="E58" t="inlineStr"/>
      <c r="F58" s="42" t="inlineStr">
        <is>
          <t>FY26 revenue = H1 12,884 (F6 inputs) + H2 2025 15,357 x 1.05 (Q3 revenue guide +4-6%, agent 1 citing [1]) = 29,009 / GB 202,052 = 14.36% (booking-window timing: GB grew ahead of revenue in H1). FY27 14.40%, FY28 14.45%: back toward the FY2025 level as merchant mix rises (63% -&gt; 70% -&gt; 73%). No agent states a number; agents 2, 3, 5 name take-rate concessions as a bear risk only.</t>
        </is>
      </c>
    </row>
    <row r="59">
      <c r="A59" s="42" t="inlineStr">
        <is>
          <t>driver:mkt</t>
        </is>
      </c>
      <c r="B59" t="inlineStr">
        <is>
          <t>Marketing expense (performance + brand) % of gross bookings: 0.04399 -&gt; 0.04461/0.045/0.0455 (estimate)</t>
        </is>
      </c>
      <c r="C59" t="inlineStr">
        <is>
          <t>estimate</t>
        </is>
      </c>
      <c r="D59" t="inlineStr"/>
      <c r="E59" t="inlineStr"/>
      <c r="F59" s="42" t="inlineStr">
        <is>
          <t>FY26 = H1 4,439 + H2 GB 97,336 x 4.70% (H2 2025 4,270/92,701 = 4.61%, +0.1pt as in Q2) = 9,014 / 202,052 = 4.46%. FY27 4.50%, FY28 4.55%: +5bp/yr drift for AI channels (agents 1, 3, 4 name rising acquisition cost, no number). Variant: 4.7% from FY27 (the page add-condition level) = FV $184.7 (-3.2%).</t>
        </is>
      </c>
    </row>
    <row r="60">
      <c r="A60" s="42" t="inlineStr">
        <is>
          <t>driver:opex</t>
        </is>
      </c>
      <c r="B60" t="inlineStr">
        <is>
          <t>Other operating expense ex marketing, ex impairment and transformation costs, % of revenue (GAAP, incl. SBC and D&amp;A): 0.3434 -&gt; 0.34/0.337/0.335 (estimate)</t>
        </is>
      </c>
      <c r="C60" t="inlineStr">
        <is>
          <t>estimate</t>
        </is>
      </c>
      <c r="D60" t="inlineStr"/>
      <c r="E60" t="inlineStr"/>
      <c r="F60" s="42" t="inlineStr">
        <is>
          <t>FY26 = (H1 4,674 + H2 2025 5,574 x 1.05 - one-offs ~662 as in FY2025) / 29,009 = 34.0%; this reproduces the FY26 adj EPS guide (~$10.36 vs consensus $10.45 [10]). FY27 33.7%, FY28 33.5%: about a third of the $650M savings run-rate kept (rest reinvested). Variant: flat 34.0% = FV $188.3 (-1.3%); full $650M savings kept (32.3% FY28) = FV $196.4 (+3.0%).</t>
        </is>
      </c>
    </row>
    <row r="61">
      <c r="A61" s="42" t="inlineStr">
        <is>
          <t>driver:sh</t>
        </is>
      </c>
      <c r="B61" t="inlineStr">
        <is>
          <t>Diluted weighted-average shares (post-split): 816 -&gt; 767/721/677.7 (estimate)</t>
        </is>
      </c>
      <c r="C61" t="inlineStr">
        <is>
          <t>estimate</t>
        </is>
      </c>
      <c r="D61" t="inlineStr"/>
      <c r="E61" t="inlineStr"/>
      <c r="F61" s="42" t="inlineStr">
        <is>
          <t>-6%/yr net shrink (supervisor key drivers; agents 1, 3, 4, 5): 815.975 x 0.94 = 767.0 (Q2 770 F26, H1 782 check), 721.0, 677.7. Horizon point count (Oct 2027) = FY27 avg - 5/12 x (FY27 - FY28) = 703M vs agents' 705-715M and supervisor 708M: mine is a diluted-average path from FY2025, theirs runs from the 751M cover count at ~5%/yr. Variant 708M at horizon: FCF leg -0.8%.</t>
        </is>
      </c>
    </row>
    <row r="63">
      <c r="A63" s="3" t="inlineStr">
        <is>
          <t>#</t>
        </is>
      </c>
      <c r="B63" s="3" t="inlineStr">
        <is>
          <t>Source</t>
        </is>
      </c>
      <c r="C63" s="3" t="inlineStr">
        <is>
          <t>Date</t>
        </is>
      </c>
      <c r="D63" s="3" t="inlineStr">
        <is>
          <t>Link</t>
        </is>
      </c>
    </row>
    <row r="64">
      <c r="A64" t="n">
        <v>1</v>
      </c>
      <c r="B64" s="42" t="inlineStr">
        <is>
          <t>Booking Holdings Q2 2026 earnings release (8-K Ex.99.1; Q3/FY guide table)</t>
        </is>
      </c>
      <c r="C64" t="inlineStr">
        <is>
          <t>2026-08-04</t>
        </is>
      </c>
      <c r="D64" t="inlineStr">
        <is>
          <t>https://www.sec.gov/Archives/edgar/data/1075531/000107553126000036/q2-26bkngearningsrelease.htm</t>
        </is>
      </c>
    </row>
    <row r="65">
      <c r="A65" t="n">
        <v>2</v>
      </c>
      <c r="B65" s="42" t="inlineStr">
        <is>
          <t>Booking Holdings Form 10-Q, Q2 2026 (legal note: FTC, Dutch foundations, German suits, CNMC $472M; UTB $313M; Innovation Box; SBC; equity statement)</t>
        </is>
      </c>
      <c r="C65" t="inlineStr">
        <is>
          <t>2026-08-04</t>
        </is>
      </c>
      <c r="D65" t="inlineStr">
        <is>
          <t>https://www.sec.gov/Archives/edgar/data/1075531/000107553126000037/bkng-20260630.htm</t>
        </is>
      </c>
    </row>
    <row r="66">
      <c r="A66" t="n">
        <v>3</v>
      </c>
      <c r="B66" s="42" t="inlineStr">
        <is>
          <t>Expedia Group Q2 2026 earnings release (Q3 gross bookings +5-7%, FY +8-9%)</t>
        </is>
      </c>
      <c r="C66" t="inlineStr">
        <is>
          <t>2026-08-05</t>
        </is>
      </c>
      <c r="D66" t="inlineStr">
        <is>
          <t>https://www.sec.gov/Archives/edgar/data/1324424/000132442426000051/earningsrelease-q22026.htm</t>
        </is>
      </c>
    </row>
    <row r="67">
      <c r="A67" t="n">
        <v>4</v>
      </c>
      <c r="B67" s="42" t="inlineStr">
        <is>
          <t>Airbnb Q2 2026 shareholder letter (Q3 GBV mid-teens, nights low double digits)</t>
        </is>
      </c>
      <c r="C67" t="inlineStr">
        <is>
          <t>2026-08-06</t>
        </is>
      </c>
      <c r="D67" t="inlineStr">
        <is>
          <t>https://www.sec.gov/Archives/edgar/data/1559720/000119312526337928/d70413dex991.htm</t>
        </is>
      </c>
    </row>
    <row r="68">
      <c r="A68" t="n">
        <v>5</v>
      </c>
      <c r="B68" s="42" t="inlineStr">
        <is>
          <t>SEC EDGAR submissions index for BKNG (last 8-K Aug 4)</t>
        </is>
      </c>
      <c r="C68" t="inlineStr">
        <is>
          <t>2026-10-02</t>
        </is>
      </c>
      <c r="D68" t="inlineStr">
        <is>
          <t>https://data.sec.gov/submissions/CIK0001075531.json</t>
        </is>
      </c>
    </row>
    <row r="69">
      <c r="A69" t="n">
        <v>6</v>
      </c>
      <c r="B69" s="42" t="inlineStr">
        <is>
          <t>Booking Holdings press-release RSS feed (latest Sep 29; Q2 webcast notice Jul 7)</t>
        </is>
      </c>
      <c r="C69" t="inlineStr">
        <is>
          <t>2026-10-02</t>
        </is>
      </c>
      <c r="D69" t="inlineStr">
        <is>
          <t>https://www.bookingholdings.com/press-releases/feed/</t>
        </is>
      </c>
    </row>
    <row r="70">
      <c r="A70" t="n">
        <v>7</v>
      </c>
      <c r="B70" s="42" t="inlineStr">
        <is>
          <t>TechCrunch: Meta's AI agent Muse is now the No. 2 app in the US</t>
        </is>
      </c>
      <c r="C70" t="inlineStr">
        <is>
          <t>2026-09-10</t>
        </is>
      </c>
      <c r="D70" t="inlineStr">
        <is>
          <t>https://techcrunch.com/2026/09/10/metas-ai-agent-muse-is-now-the-no-2-app-in-the-us/</t>
        </is>
      </c>
    </row>
    <row r="71">
      <c r="A71" t="n">
        <v>8</v>
      </c>
      <c r="B71" s="42" t="inlineStr">
        <is>
          <t>Meta Muse: 2.5M downloads in 13 days (Sensor Tower, via borncity)</t>
        </is>
      </c>
      <c r="C71" t="inlineStr">
        <is>
          <t>2026-09</t>
        </is>
      </c>
      <c r="D71" t="inlineStr">
        <is>
          <t>https://borncity.com/news/meta-muse-ki-agent-erreicht-25-millionen-downloads-in-13-tagen/</t>
        </is>
      </c>
    </row>
    <row r="72">
      <c r="A72" t="n">
        <v>9</v>
      </c>
      <c r="B72" s="42" t="inlineStr">
        <is>
          <t>Hospitality Net: Google ships agentic booking (10 launch partners)</t>
        </is>
      </c>
      <c r="C72" t="inlineStr">
        <is>
          <t>2026-08-28</t>
        </is>
      </c>
      <c r="D72" t="inlineStr">
        <is>
          <t>https://www.hospitalitynet.org/news/4134140/</t>
        </is>
      </c>
    </row>
    <row r="73">
      <c r="A73" t="n">
        <v>10</v>
      </c>
      <c r="B73" s="42" t="inlineStr">
        <is>
          <t>StockAnalysis BKNG forecast (FY26 $10.45; 36 analysts; avg PT $238.78)</t>
        </is>
      </c>
      <c r="C73" t="inlineStr">
        <is>
          <t>2026-09-24</t>
        </is>
      </c>
      <c r="D73" t="inlineStr">
        <is>
          <t>https://stockanalysis.com/stocks/bkng/forecast/</t>
        </is>
      </c>
    </row>
    <row r="74">
      <c r="A74" t="n">
        <v>11</v>
      </c>
      <c r="B74" s="42" t="inlineStr">
        <is>
          <t>Twelve Data: IGV monthly Nov 2025-Oct 2026; BKNG monthly 2018-2020; BKNG daily to Oct 2</t>
        </is>
      </c>
      <c r="C74" t="inlineStr">
        <is>
          <t>2026-10-02</t>
        </is>
      </c>
      <c r="D74" t="inlineStr">
        <is>
          <t>https://api.twelvedata.com/time_series</t>
        </is>
      </c>
    </row>
    <row r="75">
      <c r="A75" t="n">
        <v>12</v>
      </c>
      <c r="B75" s="42" t="inlineStr">
        <is>
          <t>Nasdaq.com analyst earnings forecast, EXPE (Zacks consensus EPS: FY26 $17.35 n=8, FY27 $20.47 n=10)</t>
        </is>
      </c>
      <c r="C75" t="inlineStr">
        <is>
          <t>2026-10-26</t>
        </is>
      </c>
      <c r="D75" t="inlineStr">
        <is>
          <t>https://api.nasdaq.com/api/analyst/EXPE/earnings-forecast</t>
        </is>
      </c>
    </row>
    <row r="76">
      <c r="A76" t="n">
        <v>13</v>
      </c>
      <c r="B76" s="42" t="inlineStr">
        <is>
          <t>Nasdaq.com analyst earnings forecast, ABNB (Zacks consensus EPS: FY26 $5.29 n=14, FY27 $6.30 n=15)</t>
        </is>
      </c>
      <c r="C76" t="inlineStr">
        <is>
          <t>2026-10-26</t>
        </is>
      </c>
      <c r="D76" t="inlineStr">
        <is>
          <t>https://api.nasdaq.com/api/analyst/ABNB/earnings-forecast</t>
        </is>
      </c>
    </row>
    <row r="77">
      <c r="A77" t="n">
        <v>14</v>
      </c>
      <c r="B77" s="42" t="inlineStr">
        <is>
          <t>Nasdaq.com analyst earnings forecast, UBER (Zacks consensus EPS: FY26 $3.20 n=11, FY27 $4.56 n=12)</t>
        </is>
      </c>
      <c r="C77" t="inlineStr">
        <is>
          <t>2026-10-26</t>
        </is>
      </c>
      <c r="D77" t="inlineStr">
        <is>
          <t>https://api.nasdaq.com/api/analyst/UBER/earnings-forecast</t>
        </is>
      </c>
    </row>
    <row r="78">
      <c r="A78" t="n">
        <v>15</v>
      </c>
      <c r="B78" s="42" t="inlineStr">
        <is>
          <t>Nasdaq.com analyst earnings forecast, BKNG (Zacks consensus adj EPS: FY26 $10.48 n=16, FY27 $12.36 n=16)</t>
        </is>
      </c>
      <c r="C78" t="inlineStr">
        <is>
          <t>2026-10-26</t>
        </is>
      </c>
      <c r="D78" t="inlineStr">
        <is>
          <t>https://api.nasdaq.com/api/analyst/BKNG/earnings-forecast</t>
        </is>
      </c>
    </row>
    <row r="79">
      <c r="A79" t="n">
        <v>16</v>
      </c>
      <c r="B79" s="42" t="inlineStr">
        <is>
          <t>MarketScreener Amadeus IT Group finances: EPS (EUR) 2025 3.01, 2026e 3.257, 2027e 3.683; 22 analysts; last 56.60 EUR (BME close 2026-10-23)</t>
        </is>
      </c>
      <c r="C79" t="inlineStr">
        <is>
          <t>2026-10-26</t>
        </is>
      </c>
      <c r="D79" t="inlineStr">
        <is>
          <t>https://www.marketscreener.com/quote/stock/AMADEUS-IT-GROUP-S-A-4027320/finances/</t>
        </is>
      </c>
    </row>
    <row r="80">
      <c r="A80" t="n">
        <v>17</v>
      </c>
      <c r="B80" s="42" t="inlineStr">
        <is>
          <t>Amadeus FY2025 results press release (2026-02-27): reported diluted EPS EUR 3.01, adjusted diluted EPS EUR 3.20</t>
        </is>
      </c>
      <c r="C80" t="inlineStr">
        <is>
          <t>2026-02-27</t>
        </is>
      </c>
      <c r="D80" t="inlineStr">
        <is>
          <t>https://amadeus.com/en/newsroom/press-releases/amadeus-fy-2025-results-revenue-growth</t>
        </is>
      </c>
    </row>
    <row r="81">
      <c r="A81" t="n">
        <v>18</v>
      </c>
      <c r="B81" s="42" t="inlineStr">
        <is>
          <t>Expedia Group Q4/FY2025 earnings release (8-K Ex.99.1, 2026-02-12): FY25 adjusted EPS $15.86 adds back stock-based compensation $398M ($3.09/sh pre-tax); adjusted shares 128,533k</t>
        </is>
      </c>
      <c r="C81" t="inlineStr">
        <is>
          <t>2026-02-12</t>
        </is>
      </c>
      <c r="D81" t="inlineStr">
        <is>
          <t>https://www.sec.gov/Archives/edgar/data/1324424/000132442426000005/earningsrelease-q42025.htm</t>
        </is>
      </c>
    </row>
    <row r="82">
      <c r="A82" t="n">
        <v>19</v>
      </c>
      <c r="B82" s="42" t="inlineStr">
        <is>
          <t>Booking Holdings Q4/FY2025 earnings release (8-K Ex.99.1): adjusted net income reconciliation has no stock-based compensation add-back (SBC $613M stays in personnel expense)</t>
        </is>
      </c>
      <c r="C82" t="inlineStr">
        <is>
          <t>2026-02-18</t>
        </is>
      </c>
      <c r="D82" t="inlineStr">
        <is>
          <t>https://www.sec.gov/Archives/edgar/data/1075531/000107553126000008/q4-25bkngearningsrelease.htm</t>
        </is>
      </c>
    </row>
    <row r="83">
      <c r="A83" t="n">
        <v>20</v>
      </c>
      <c r="B83" s="42" t="inlineStr">
        <is>
          <t>Yahoo Finance chart feed, last close 2026-10-23 (EXPE 289.01, ABNB 172.01, UBER 66.70, BKNG 155.83); peers.py table runs/2026-10-23/BKNG/peers.md</t>
        </is>
      </c>
      <c r="C83" t="inlineStr">
        <is>
          <t>2026-10-26</t>
        </is>
      </c>
      <c r="D83" t="inlineStr">
        <is>
          <t>https://query1.finance.yahoo.com/v8/finance/chart/</t>
        </is>
      </c>
    </row>
    <row r="84">
      <c r="A84" t="n">
        <v>21</v>
      </c>
      <c r="B84" s="42" t="inlineStr">
        <is>
          <t>Nasdaq.com earnings surprise, EXPE (Zacks reported EPS by quarter)</t>
        </is>
      </c>
      <c r="C84" t="inlineStr">
        <is>
          <t>2026-10-26</t>
        </is>
      </c>
      <c r="D84" t="inlineStr">
        <is>
          <t>https://api.nasdaq.com/api/company/EXPE/earnings-surprise</t>
        </is>
      </c>
    </row>
    <row r="85">
      <c r="A85" t="n">
        <v>22</v>
      </c>
      <c r="B85" s="42" t="inlineStr">
        <is>
          <t>Nasdaq.com earnings surprise, BKNG (Zacks reported EPS by quarter)</t>
        </is>
      </c>
      <c r="C85" t="inlineStr">
        <is>
          <t>2026-10-26</t>
        </is>
      </c>
      <c r="D85" t="inlineStr">
        <is>
          <t>https://api.nasdaq.com/api/company/BKNG/earnings-surprise</t>
        </is>
      </c>
    </row>
    <row r="86">
      <c r="A86" t="n">
        <v>23</v>
      </c>
      <c r="B86" s="42" t="inlineStr">
        <is>
          <t>Nasdaq.com earnings surprise, ABNB (Zacks reported EPS by quarter)</t>
        </is>
      </c>
      <c r="C86" t="inlineStr">
        <is>
          <t>2026-10-26</t>
        </is>
      </c>
      <c r="D86" t="inlineStr">
        <is>
          <t>https://api.nasdaq.com/api/company/ABNB/earnings-surprise</t>
        </is>
      </c>
    </row>
    <row r="87">
      <c r="A87" t="n">
        <v>24</v>
      </c>
      <c r="B87" s="42" t="inlineStr">
        <is>
          <t>Nasdaq.com earnings surprise, UBER (Zacks reported EPS by quarter)</t>
        </is>
      </c>
      <c r="C87" t="inlineStr">
        <is>
          <t>2026-10-26</t>
        </is>
      </c>
      <c r="D87" t="inlineStr">
        <is>
          <t>https://api.nasdaq.com/api/company/UBER/earnings-surprise</t>
        </is>
      </c>
    </row>
    <row r="88">
      <c r="A88" t="n">
        <v>25</v>
      </c>
      <c r="B88" s="42" t="inlineStr">
        <is>
          <t>SEC XBRL companyfacts, Airbnb (CIK 1559720): Q2 2026 10-Q (filed 2026-08-06) net income $816M, diluted weighted shares 597.0M; FY2025 10-K (accession 0001559720-26-000004) net income $2,511M, goodwill / intangible / long-lived impairment $0, equity-security impairment $30M, other non-operating expense $112M</t>
        </is>
      </c>
      <c r="C88" t="inlineStr">
        <is>
          <t>2026-10-26</t>
        </is>
      </c>
      <c r="D88" t="inlineStr">
        <is>
          <t>https://data.sec.gov/api/xbrl/companyfacts/CIK0001559720.json</t>
        </is>
      </c>
    </row>
    <row r="90">
      <c r="A90" s="3" t="inlineStr">
        <is>
          <t>Fact id</t>
        </is>
      </c>
      <c r="B90" s="3" t="inlineStr">
        <is>
          <t>Figure</t>
        </is>
      </c>
      <c r="C90" s="3" t="inlineStr">
        <is>
          <t>Value</t>
        </is>
      </c>
      <c r="D90" s="3" t="inlineStr">
        <is>
          <t>Filing</t>
        </is>
      </c>
    </row>
    <row r="91">
      <c r="A91" t="inlineStr">
        <is>
          <t>F1</t>
        </is>
      </c>
      <c r="B91" t="inlineStr">
        <is>
          <t>revenue FY ending 2023-12-31 (us-gaap:Revenues)</t>
        </is>
      </c>
      <c r="C91" s="48" t="n">
        <v>21365000000</v>
      </c>
      <c r="D91" t="inlineStr">
        <is>
          <t>https://www.sec.gov/Archives/edgar/data/1075531/000107553126000009/</t>
        </is>
      </c>
    </row>
    <row r="92">
      <c r="A92" t="inlineStr">
        <is>
          <t>F2</t>
        </is>
      </c>
      <c r="B92" t="inlineStr">
        <is>
          <t>revenue FY ending 2024-12-31 (us-gaap:Revenues)</t>
        </is>
      </c>
      <c r="C92" s="48" t="n">
        <v>23739000000</v>
      </c>
      <c r="D92" t="inlineStr">
        <is>
          <t>https://www.sec.gov/Archives/edgar/data/1075531/000107553126000009/</t>
        </is>
      </c>
    </row>
    <row r="93">
      <c r="A93" t="inlineStr">
        <is>
          <t>F3</t>
        </is>
      </c>
      <c r="B93" t="inlineStr">
        <is>
          <t>revenue FY ending 2025-12-31 (us-gaap:Revenues)</t>
        </is>
      </c>
      <c r="C93" s="48" t="n">
        <v>26917000000</v>
      </c>
      <c r="D93" t="inlineStr">
        <is>
          <t>https://www.sec.gov/Archives/edgar/data/1075531/000107553126000009/</t>
        </is>
      </c>
    </row>
    <row r="94">
      <c r="A94" t="inlineStr">
        <is>
          <t>F4</t>
        </is>
      </c>
      <c r="B94" t="inlineStr">
        <is>
          <t>revenue YTD 2026-01-01 to 2026-06-30</t>
        </is>
      </c>
      <c r="C94" s="48" t="n">
        <v>12884000000</v>
      </c>
      <c r="D94" t="inlineStr">
        <is>
          <t>https://www.sec.gov/Archives/edgar/data/1075531/000107553126000037/</t>
        </is>
      </c>
    </row>
    <row r="95">
      <c r="A95" t="inlineStr">
        <is>
          <t>F5</t>
        </is>
      </c>
      <c r="B95" t="inlineStr">
        <is>
          <t>revenue prior-year YTD 2025-01-01 to 2025-06-30</t>
        </is>
      </c>
      <c r="C95" s="48" t="n">
        <v>11560000000</v>
      </c>
      <c r="D95" t="inlineStr">
        <is>
          <t>https://www.sec.gov/Archives/edgar/data/1075531/000107553126000037/</t>
        </is>
      </c>
    </row>
    <row r="96">
      <c r="A96" t="inlineStr">
        <is>
          <t>F6</t>
        </is>
      </c>
      <c r="B96" t="inlineStr">
        <is>
          <t>revenue TTM to 2026-06-30</t>
        </is>
      </c>
      <c r="C96" s="48" t="n">
        <v>28241000000</v>
      </c>
    </row>
    <row r="97">
      <c r="A97" t="inlineStr">
        <is>
          <t>F7</t>
        </is>
      </c>
      <c r="B97" t="inlineStr">
        <is>
          <t>revenue quarter 2026-04-01 to 2026-06-30</t>
        </is>
      </c>
      <c r="C97" s="48" t="n">
        <v>7352000000</v>
      </c>
      <c r="D97" t="inlineStr">
        <is>
          <t>https://www.sec.gov/Archives/edgar/data/1075531/000107553126000037/</t>
        </is>
      </c>
    </row>
    <row r="98">
      <c r="A98" t="inlineStr">
        <is>
          <t>F8</t>
        </is>
      </c>
      <c r="B98" t="inlineStr">
        <is>
          <t>operating_income FY ending 2023-12-31 (us-gaap:OperatingIncomeLoss)</t>
        </is>
      </c>
      <c r="C98" s="48" t="n">
        <v>5835000000</v>
      </c>
      <c r="D98" t="inlineStr">
        <is>
          <t>https://www.sec.gov/Archives/edgar/data/1075531/000107553126000009/</t>
        </is>
      </c>
    </row>
    <row r="99">
      <c r="A99" t="inlineStr">
        <is>
          <t>F9</t>
        </is>
      </c>
      <c r="B99" t="inlineStr">
        <is>
          <t>operating_income FY ending 2024-12-31 (us-gaap:OperatingIncomeLoss)</t>
        </is>
      </c>
      <c r="C99" s="48" t="n">
        <v>7555000000</v>
      </c>
      <c r="D99" t="inlineStr">
        <is>
          <t>https://www.sec.gov/Archives/edgar/data/1075531/000107553126000009/</t>
        </is>
      </c>
    </row>
    <row r="100">
      <c r="A100" t="inlineStr">
        <is>
          <t>F10</t>
        </is>
      </c>
      <c r="B100" t="inlineStr">
        <is>
          <t>operating_income FY ending 2025-12-31 (us-gaap:OperatingIncomeLoss)</t>
        </is>
      </c>
      <c r="C100" s="48" t="n">
        <v>8825000000</v>
      </c>
      <c r="D100" t="inlineStr">
        <is>
          <t>https://www.sec.gov/Archives/edgar/data/1075531/000107553126000009/</t>
        </is>
      </c>
    </row>
    <row r="101">
      <c r="A101" t="inlineStr">
        <is>
          <t>F11</t>
        </is>
      </c>
      <c r="B101" t="inlineStr">
        <is>
          <t>operating_income YTD 2026-01-01 to 2026-06-30</t>
        </is>
      </c>
      <c r="C101" s="48" t="n">
        <v>3771000000</v>
      </c>
      <c r="D101" t="inlineStr">
        <is>
          <t>https://www.sec.gov/Archives/edgar/data/1075531/000107553126000037/</t>
        </is>
      </c>
    </row>
    <row r="102">
      <c r="A102" t="inlineStr">
        <is>
          <t>F12</t>
        </is>
      </c>
      <c r="B102" t="inlineStr">
        <is>
          <t>operating_income prior-year YTD 2025-01-01 to 2025-06-30</t>
        </is>
      </c>
      <c r="C102" s="48" t="n">
        <v>3312000000</v>
      </c>
      <c r="D102" t="inlineStr">
        <is>
          <t>https://www.sec.gov/Archives/edgar/data/1075531/000107553126000037/</t>
        </is>
      </c>
    </row>
    <row r="103">
      <c r="A103" t="inlineStr">
        <is>
          <t>F13</t>
        </is>
      </c>
      <c r="B103" t="inlineStr">
        <is>
          <t>operating_income TTM to 2026-06-30</t>
        </is>
      </c>
      <c r="C103" s="48" t="n">
        <v>9284000000</v>
      </c>
    </row>
    <row r="104">
      <c r="A104" t="inlineStr">
        <is>
          <t>F14</t>
        </is>
      </c>
      <c r="B104" t="inlineStr">
        <is>
          <t>operating_income quarter 2026-04-01 to 2026-06-30</t>
        </is>
      </c>
      <c r="C104" s="48" t="n">
        <v>2500000000</v>
      </c>
      <c r="D104" t="inlineStr">
        <is>
          <t>https://www.sec.gov/Archives/edgar/data/1075531/000107553126000037/</t>
        </is>
      </c>
    </row>
    <row r="105">
      <c r="A105" t="inlineStr">
        <is>
          <t>F15</t>
        </is>
      </c>
      <c r="B105" t="inlineStr">
        <is>
          <t>eps_diluted FY ending 2023-12-31 (us-gaap:EarningsPerShareDiluted)</t>
        </is>
      </c>
      <c r="C105" s="48" t="n">
        <v>117.4</v>
      </c>
      <c r="D105" t="inlineStr">
        <is>
          <t>https://www.sec.gov/Archives/edgar/data/1075531/000107553126000009/</t>
        </is>
      </c>
    </row>
    <row r="106">
      <c r="A106" t="inlineStr">
        <is>
          <t>F16</t>
        </is>
      </c>
      <c r="B106" t="inlineStr">
        <is>
          <t>eps_diluted FY ending 2024-12-31 (us-gaap:EarningsPerShareDiluted)</t>
        </is>
      </c>
      <c r="C106" s="48" t="n">
        <v>172.69</v>
      </c>
      <c r="D106" t="inlineStr">
        <is>
          <t>https://www.sec.gov/Archives/edgar/data/1075531/000107553126000009/</t>
        </is>
      </c>
    </row>
    <row r="107">
      <c r="A107" t="inlineStr">
        <is>
          <t>F17</t>
        </is>
      </c>
      <c r="B107" t="inlineStr">
        <is>
          <t>eps_diluted FY ending 2025-12-31 (us-gaap:EarningsPerShareDiluted)</t>
        </is>
      </c>
      <c r="C107" s="48" t="n">
        <v>165.57</v>
      </c>
      <c r="D107" t="inlineStr">
        <is>
          <t>https://www.sec.gov/Archives/edgar/data/1075531/000107553126000009/</t>
        </is>
      </c>
    </row>
    <row r="108">
      <c r="A108" t="inlineStr">
        <is>
          <t>F18</t>
        </is>
      </c>
      <c r="B108" t="inlineStr">
        <is>
          <t>eps_diluted YTD 2026-01-01 to 2026-06-30</t>
        </is>
      </c>
      <c r="C108" s="48" t="n">
        <v>3.88</v>
      </c>
      <c r="D108" t="inlineStr">
        <is>
          <t>https://www.sec.gov/Archives/edgar/data/1075531/000107553126000037/</t>
        </is>
      </c>
    </row>
    <row r="109">
      <c r="A109" t="inlineStr">
        <is>
          <t>F19</t>
        </is>
      </c>
      <c r="B109" t="inlineStr">
        <is>
          <t>eps_diluted prior-year YTD 2025-01-01 to 2025-06-30</t>
        </is>
      </c>
      <c r="C109" s="48" t="n">
        <v>1.5</v>
      </c>
      <c r="D109" t="inlineStr">
        <is>
          <t>https://www.sec.gov/Archives/edgar/data/1075531/000107553126000037/</t>
        </is>
      </c>
    </row>
    <row r="110">
      <c r="A110" t="inlineStr">
        <is>
          <t>F20</t>
        </is>
      </c>
      <c r="B110" t="inlineStr">
        <is>
          <t>eps_diluted quarter 2026-04-01 to 2026-06-30</t>
        </is>
      </c>
      <c r="C110" s="48" t="n">
        <v>2.53</v>
      </c>
      <c r="D110" t="inlineStr">
        <is>
          <t>https://www.sec.gov/Archives/edgar/data/1075531/000107553126000037/</t>
        </is>
      </c>
    </row>
    <row r="111">
      <c r="A111" t="inlineStr">
        <is>
          <t>F21</t>
        </is>
      </c>
      <c r="B111" t="inlineStr">
        <is>
          <t>diluted_shares_wavg FY ending 2023-12-31 (us-gaap:WeightedAverageNumberOfDilutedSharesOutstanding)</t>
        </is>
      </c>
      <c r="C111" s="48" t="n">
        <v>36530000</v>
      </c>
      <c r="D111" t="inlineStr">
        <is>
          <t>https://www.sec.gov/Archives/edgar/data/1075531/000107553126000009/</t>
        </is>
      </c>
    </row>
    <row r="112">
      <c r="A112" t="inlineStr">
        <is>
          <t>F22</t>
        </is>
      </c>
      <c r="B112" t="inlineStr">
        <is>
          <t>diluted_shares_wavg FY ending 2024-12-31 (us-gaap:WeightedAverageNumberOfDilutedSharesOutstanding)</t>
        </is>
      </c>
      <c r="C112" s="48" t="n">
        <v>34064000</v>
      </c>
      <c r="D112" t="inlineStr">
        <is>
          <t>https://www.sec.gov/Archives/edgar/data/1075531/000107553126000009/</t>
        </is>
      </c>
    </row>
    <row r="113">
      <c r="A113" t="inlineStr">
        <is>
          <t>F23</t>
        </is>
      </c>
      <c r="B113" t="inlineStr">
        <is>
          <t>diluted_shares_wavg FY ending 2025-12-31 (us-gaap:WeightedAverageNumberOfDilutedSharesOutstanding)</t>
        </is>
      </c>
      <c r="C113" s="48" t="n">
        <v>32639000</v>
      </c>
      <c r="D113" t="inlineStr">
        <is>
          <t>https://www.sec.gov/Archives/edgar/data/1075531/000107553126000009/</t>
        </is>
      </c>
    </row>
    <row r="114">
      <c r="A114" t="inlineStr">
        <is>
          <t>F24</t>
        </is>
      </c>
      <c r="B114" t="inlineStr">
        <is>
          <t>diluted_shares_wavg YTD 2026-01-01 to 2026-06-30</t>
        </is>
      </c>
      <c r="C114" s="48" t="n">
        <v>782000000</v>
      </c>
      <c r="D114" t="inlineStr">
        <is>
          <t>https://www.sec.gov/Archives/edgar/data/1075531/000107553126000037/</t>
        </is>
      </c>
    </row>
    <row r="115">
      <c r="A115" t="inlineStr">
        <is>
          <t>F25</t>
        </is>
      </c>
      <c r="B115" t="inlineStr">
        <is>
          <t>diluted_shares_wavg prior-year YTD 2025-01-01 to 2025-06-30</t>
        </is>
      </c>
      <c r="C115" s="48" t="n">
        <v>821000000</v>
      </c>
      <c r="D115" t="inlineStr">
        <is>
          <t>https://www.sec.gov/Archives/edgar/data/1075531/000107553126000037/</t>
        </is>
      </c>
    </row>
    <row r="116">
      <c r="A116" t="inlineStr">
        <is>
          <t>F26</t>
        </is>
      </c>
      <c r="B116" t="inlineStr">
        <is>
          <t>diluted_shares_wavg quarter 2026-04-01 to 2026-06-30</t>
        </is>
      </c>
      <c r="C116" s="48" t="n">
        <v>770000000</v>
      </c>
      <c r="D116" t="inlineStr">
        <is>
          <t>https://www.sec.gov/Archives/edgar/data/1075531/000107553126000037/</t>
        </is>
      </c>
    </row>
    <row r="117">
      <c r="A117" t="inlineStr">
        <is>
          <t>F27</t>
        </is>
      </c>
      <c r="B117" t="inlineStr">
        <is>
          <t>d_and_a FY ending 2023-12-31 (us-gaap:DepreciationDepletionAndAmortization)</t>
        </is>
      </c>
      <c r="C117" s="48" t="n">
        <v>504000000</v>
      </c>
      <c r="D117" t="inlineStr">
        <is>
          <t>https://www.sec.gov/Archives/edgar/data/1075531/000107553126000009/</t>
        </is>
      </c>
    </row>
    <row r="118">
      <c r="A118" t="inlineStr">
        <is>
          <t>F28</t>
        </is>
      </c>
      <c r="B118" t="inlineStr">
        <is>
          <t>d_and_a FY ending 2024-12-31 (us-gaap:DepreciationDepletionAndAmortization)</t>
        </is>
      </c>
      <c r="C118" s="48" t="n">
        <v>591000000</v>
      </c>
      <c r="D118" t="inlineStr">
        <is>
          <t>https://www.sec.gov/Archives/edgar/data/1075531/000107553126000009/</t>
        </is>
      </c>
    </row>
    <row r="119">
      <c r="A119" t="inlineStr">
        <is>
          <t>F29</t>
        </is>
      </c>
      <c r="B119" t="inlineStr">
        <is>
          <t>d_and_a FY ending 2025-12-31 (us-gaap:DepreciationDepletionAndAmortization)</t>
        </is>
      </c>
      <c r="C119" s="48" t="n">
        <v>623000000</v>
      </c>
      <c r="D119" t="inlineStr">
        <is>
          <t>https://www.sec.gov/Archives/edgar/data/1075531/000107553126000009/</t>
        </is>
      </c>
    </row>
    <row r="120">
      <c r="A120" t="inlineStr">
        <is>
          <t>F30</t>
        </is>
      </c>
      <c r="B120" t="inlineStr">
        <is>
          <t>d_and_a YTD 2026-01-01 to 2026-06-30</t>
        </is>
      </c>
      <c r="C120" s="48" t="n">
        <v>260000000</v>
      </c>
      <c r="D120" t="inlineStr">
        <is>
          <t>https://www.sec.gov/Archives/edgar/data/1075531/000107553126000037/</t>
        </is>
      </c>
    </row>
    <row r="121">
      <c r="A121" t="inlineStr">
        <is>
          <t>F31</t>
        </is>
      </c>
      <c r="B121" t="inlineStr">
        <is>
          <t>d_and_a prior-year YTD 2025-01-01 to 2025-06-30</t>
        </is>
      </c>
      <c r="C121" s="48" t="n">
        <v>312000000</v>
      </c>
      <c r="D121" t="inlineStr">
        <is>
          <t>https://www.sec.gov/Archives/edgar/data/1075531/000107553126000037/</t>
        </is>
      </c>
    </row>
    <row r="122">
      <c r="A122" t="inlineStr">
        <is>
          <t>F32</t>
        </is>
      </c>
      <c r="B122" t="inlineStr">
        <is>
          <t>d_and_a TTM to 2026-06-30</t>
        </is>
      </c>
      <c r="C122" s="48" t="n">
        <v>571000000</v>
      </c>
    </row>
    <row r="123">
      <c r="A123" t="inlineStr">
        <is>
          <t>F33</t>
        </is>
      </c>
      <c r="B123" t="inlineStr">
        <is>
          <t>d_and_a quarter 2026-01-01 to 2026-03-31</t>
        </is>
      </c>
      <c r="C123" s="48" t="n">
        <v>131000000</v>
      </c>
      <c r="D123" t="inlineStr">
        <is>
          <t>https://www.sec.gov/Archives/edgar/data/1075531/000107553126000025/</t>
        </is>
      </c>
    </row>
    <row r="124">
      <c r="A124" t="inlineStr">
        <is>
          <t>F34</t>
        </is>
      </c>
      <c r="B124" t="inlineStr">
        <is>
          <t>cfo FY ending 2023-12-31 (us-gaap:NetCashProvidedByUsedInOperatingActivities)</t>
        </is>
      </c>
      <c r="C124" s="48" t="n">
        <v>7344000000</v>
      </c>
      <c r="D124" t="inlineStr">
        <is>
          <t>https://www.sec.gov/Archives/edgar/data/1075531/000107553126000009/</t>
        </is>
      </c>
    </row>
    <row r="125">
      <c r="A125" t="inlineStr">
        <is>
          <t>F35</t>
        </is>
      </c>
      <c r="B125" t="inlineStr">
        <is>
          <t>cfo FY ending 2024-12-31 (us-gaap:NetCashProvidedByUsedInOperatingActivities)</t>
        </is>
      </c>
      <c r="C125" s="48" t="n">
        <v>8323000000</v>
      </c>
      <c r="D125" t="inlineStr">
        <is>
          <t>https://www.sec.gov/Archives/edgar/data/1075531/000107553126000009/</t>
        </is>
      </c>
    </row>
    <row r="126">
      <c r="A126" t="inlineStr">
        <is>
          <t>F36</t>
        </is>
      </c>
      <c r="B126" t="inlineStr">
        <is>
          <t>cfo FY ending 2025-12-31 (us-gaap:NetCashProvidedByUsedInOperatingActivities)</t>
        </is>
      </c>
      <c r="C126" s="48" t="n">
        <v>9409000000</v>
      </c>
      <c r="D126" t="inlineStr">
        <is>
          <t>https://www.sec.gov/Archives/edgar/data/1075531/000107553126000009/</t>
        </is>
      </c>
    </row>
    <row r="127">
      <c r="A127" t="inlineStr">
        <is>
          <t>F37</t>
        </is>
      </c>
      <c r="B127" t="inlineStr">
        <is>
          <t>cfo YTD 2026-01-01 to 2026-06-30</t>
        </is>
      </c>
      <c r="C127" s="48" t="n">
        <v>6934000000</v>
      </c>
      <c r="D127" t="inlineStr">
        <is>
          <t>https://www.sec.gov/Archives/edgar/data/1075531/000107553126000037/</t>
        </is>
      </c>
    </row>
    <row r="128">
      <c r="A128" t="inlineStr">
        <is>
          <t>F38</t>
        </is>
      </c>
      <c r="B128" t="inlineStr">
        <is>
          <t>cfo prior-year YTD 2025-01-01 to 2025-06-30</t>
        </is>
      </c>
      <c r="C128" s="48" t="n">
        <v>6484000000</v>
      </c>
      <c r="D128" t="inlineStr">
        <is>
          <t>https://www.sec.gov/Archives/edgar/data/1075531/000107553126000037/</t>
        </is>
      </c>
    </row>
    <row r="129">
      <c r="A129" t="inlineStr">
        <is>
          <t>F39</t>
        </is>
      </c>
      <c r="B129" t="inlineStr">
        <is>
          <t>cfo TTM to 2026-06-30</t>
        </is>
      </c>
      <c r="C129" s="48" t="n">
        <v>9859000000</v>
      </c>
    </row>
    <row r="130">
      <c r="A130" t="inlineStr">
        <is>
          <t>F40</t>
        </is>
      </c>
      <c r="B130" t="inlineStr">
        <is>
          <t>cfo quarter 2026-01-01 to 2026-03-31</t>
        </is>
      </c>
      <c r="C130" s="48" t="n">
        <v>3215000000</v>
      </c>
      <c r="D130" t="inlineStr">
        <is>
          <t>https://www.sec.gov/Archives/edgar/data/1075531/000107553126000025/</t>
        </is>
      </c>
    </row>
    <row r="131">
      <c r="A131" t="inlineStr">
        <is>
          <t>F41</t>
        </is>
      </c>
      <c r="B131" t="inlineStr">
        <is>
          <t>capex FY ending 2023-12-31 (us-gaap:PaymentsToAcquirePropertyPlantAndEquipment)</t>
        </is>
      </c>
      <c r="C131" s="48" t="n">
        <v>345000000</v>
      </c>
      <c r="D131" t="inlineStr">
        <is>
          <t>https://www.sec.gov/Archives/edgar/data/1075531/000107553126000009/</t>
        </is>
      </c>
    </row>
    <row r="132">
      <c r="A132" t="inlineStr">
        <is>
          <t>F42</t>
        </is>
      </c>
      <c r="B132" t="inlineStr">
        <is>
          <t>capex FY ending 2024-12-31 (us-gaap:PaymentsToAcquirePropertyPlantAndEquipment)</t>
        </is>
      </c>
      <c r="C132" s="48" t="n">
        <v>429000000</v>
      </c>
      <c r="D132" t="inlineStr">
        <is>
          <t>https://www.sec.gov/Archives/edgar/data/1075531/000107553126000009/</t>
        </is>
      </c>
    </row>
    <row r="133">
      <c r="A133" t="inlineStr">
        <is>
          <t>F43</t>
        </is>
      </c>
      <c r="B133" t="inlineStr">
        <is>
          <t>capex FY ending 2025-12-31 (us-gaap:PaymentsToAcquirePropertyPlantAndEquipment)</t>
        </is>
      </c>
      <c r="C133" s="48" t="n">
        <v>322000000</v>
      </c>
      <c r="D133" t="inlineStr">
        <is>
          <t>https://www.sec.gov/Archives/edgar/data/1075531/000107553126000009/</t>
        </is>
      </c>
    </row>
    <row r="134">
      <c r="A134" t="inlineStr">
        <is>
          <t>F44</t>
        </is>
      </c>
      <c r="B134" t="inlineStr">
        <is>
          <t>capex YTD 2026-01-01 to 2026-06-30</t>
        </is>
      </c>
      <c r="C134" s="48" t="n">
        <v>183000000</v>
      </c>
      <c r="D134" t="inlineStr">
        <is>
          <t>https://www.sec.gov/Archives/edgar/data/1075531/000107553126000037/</t>
        </is>
      </c>
    </row>
    <row r="135">
      <c r="A135" t="inlineStr">
        <is>
          <t>F45</t>
        </is>
      </c>
      <c r="B135" t="inlineStr">
        <is>
          <t>capex prior-year YTD 2025-01-01 to 2025-06-30</t>
        </is>
      </c>
      <c r="C135" s="48" t="n">
        <v>185000000</v>
      </c>
      <c r="D135" t="inlineStr">
        <is>
          <t>https://www.sec.gov/Archives/edgar/data/1075531/000107553126000037/</t>
        </is>
      </c>
    </row>
    <row r="136">
      <c r="A136" t="inlineStr">
        <is>
          <t>F46</t>
        </is>
      </c>
      <c r="B136" t="inlineStr">
        <is>
          <t>capex TTM to 2026-06-30</t>
        </is>
      </c>
      <c r="C136" s="48" t="n">
        <v>320000000</v>
      </c>
    </row>
    <row r="137">
      <c r="A137" t="inlineStr">
        <is>
          <t>F47</t>
        </is>
      </c>
      <c r="B137" t="inlineStr">
        <is>
          <t>capex quarter 2026-01-01 to 2026-03-31</t>
        </is>
      </c>
      <c r="C137" s="48" t="n">
        <v>107000000</v>
      </c>
      <c r="D137" t="inlineStr">
        <is>
          <t>https://www.sec.gov/Archives/edgar/data/1075531/000107553126000025/</t>
        </is>
      </c>
    </row>
    <row r="138">
      <c r="A138" t="inlineStr">
        <is>
          <t>F48</t>
        </is>
      </c>
      <c r="B138" t="inlineStr">
        <is>
          <t>buybacks FY ending 2023-12-31 (us-gaap:PaymentsForRepurchaseOfCommonStock)</t>
        </is>
      </c>
      <c r="C138" s="48" t="n">
        <v>10377000000</v>
      </c>
      <c r="D138" t="inlineStr">
        <is>
          <t>https://www.sec.gov/Archives/edgar/data/1075531/000107553126000009/</t>
        </is>
      </c>
    </row>
    <row r="139">
      <c r="A139" t="inlineStr">
        <is>
          <t>F49</t>
        </is>
      </c>
      <c r="B139" t="inlineStr">
        <is>
          <t>buybacks FY ending 2024-12-31 (us-gaap:PaymentsForRepurchaseOfCommonStock)</t>
        </is>
      </c>
      <c r="C139" s="48" t="n">
        <v>6509000000</v>
      </c>
      <c r="D139" t="inlineStr">
        <is>
          <t>https://www.sec.gov/Archives/edgar/data/1075531/000107553126000009/</t>
        </is>
      </c>
    </row>
    <row r="140">
      <c r="A140" t="inlineStr">
        <is>
          <t>F50</t>
        </is>
      </c>
      <c r="B140" t="inlineStr">
        <is>
          <t>buybacks FY ending 2025-12-31 (us-gaap:PaymentsForRepurchaseOfCommonStock)</t>
        </is>
      </c>
      <c r="C140" s="48" t="n">
        <v>6440000000</v>
      </c>
      <c r="D140" t="inlineStr">
        <is>
          <t>https://www.sec.gov/Archives/edgar/data/1075531/000107553126000009/</t>
        </is>
      </c>
    </row>
    <row r="141">
      <c r="A141" t="inlineStr">
        <is>
          <t>F51</t>
        </is>
      </c>
      <c r="B141" t="inlineStr">
        <is>
          <t>buybacks YTD 2026-01-01 to 2026-06-30</t>
        </is>
      </c>
      <c r="C141" s="48" t="n">
        <v>7758000000</v>
      </c>
      <c r="D141" t="inlineStr">
        <is>
          <t>https://www.sec.gov/Archives/edgar/data/1075531/000107553126000037/</t>
        </is>
      </c>
    </row>
    <row r="142">
      <c r="A142" t="inlineStr">
        <is>
          <t>F52</t>
        </is>
      </c>
      <c r="B142" t="inlineStr">
        <is>
          <t>buybacks prior-year YTD 2025-01-01 to 2025-06-30</t>
        </is>
      </c>
      <c r="C142" s="48" t="n">
        <v>3668000000</v>
      </c>
      <c r="D142" t="inlineStr">
        <is>
          <t>https://www.sec.gov/Archives/edgar/data/1075531/000107553126000037/</t>
        </is>
      </c>
    </row>
    <row r="143">
      <c r="A143" t="inlineStr">
        <is>
          <t>F53</t>
        </is>
      </c>
      <c r="B143" t="inlineStr">
        <is>
          <t>buybacks TTM to 2026-06-30</t>
        </is>
      </c>
      <c r="C143" s="48" t="n">
        <v>10530000000</v>
      </c>
    </row>
    <row r="144">
      <c r="A144" t="inlineStr">
        <is>
          <t>F54</t>
        </is>
      </c>
      <c r="B144" t="inlineStr">
        <is>
          <t>buybacks quarter 2026-01-01 to 2026-03-31</t>
        </is>
      </c>
      <c r="C144" s="48" t="n">
        <v>3770000000</v>
      </c>
      <c r="D144" t="inlineStr">
        <is>
          <t>https://www.sec.gov/Archives/edgar/data/1075531/000107553126000025/</t>
        </is>
      </c>
    </row>
    <row r="145">
      <c r="A145" t="inlineStr">
        <is>
          <t>F55</t>
        </is>
      </c>
      <c r="B145" t="inlineStr">
        <is>
          <t>dividends_paid FY ending 2023-12-31 (us-gaap:PaymentsOfDividends)</t>
        </is>
      </c>
      <c r="C145" s="48" t="n">
        <v>0</v>
      </c>
      <c r="D145" t="inlineStr">
        <is>
          <t>https://www.sec.gov/Archives/edgar/data/1075531/000107553126000009/</t>
        </is>
      </c>
    </row>
    <row r="146">
      <c r="A146" t="inlineStr">
        <is>
          <t>F56</t>
        </is>
      </c>
      <c r="B146" t="inlineStr">
        <is>
          <t>dividends_paid FY ending 2024-12-31 (us-gaap:PaymentsOfDividends)</t>
        </is>
      </c>
      <c r="C146" s="48" t="n">
        <v>1174000000</v>
      </c>
      <c r="D146" t="inlineStr">
        <is>
          <t>https://www.sec.gov/Archives/edgar/data/1075531/000107553126000009/</t>
        </is>
      </c>
    </row>
    <row r="147">
      <c r="A147" t="inlineStr">
        <is>
          <t>F57</t>
        </is>
      </c>
      <c r="B147" t="inlineStr">
        <is>
          <t>dividends_paid FY ending 2025-12-31 (us-gaap:PaymentsOfDividends)</t>
        </is>
      </c>
      <c r="C147" s="48" t="n">
        <v>1248000000</v>
      </c>
      <c r="D147" t="inlineStr">
        <is>
          <t>https://www.sec.gov/Archives/edgar/data/1075531/000107553126000009/</t>
        </is>
      </c>
    </row>
    <row r="148">
      <c r="A148" t="inlineStr">
        <is>
          <t>F58</t>
        </is>
      </c>
      <c r="B148" t="inlineStr">
        <is>
          <t>dividends_paid YTD 2026-01-01 to 2026-06-30</t>
        </is>
      </c>
      <c r="C148" s="48" t="n">
        <v>664000000</v>
      </c>
      <c r="D148" t="inlineStr">
        <is>
          <t>https://www.sec.gov/Archives/edgar/data/1075531/000107553126000037/</t>
        </is>
      </c>
    </row>
    <row r="149">
      <c r="A149" t="inlineStr">
        <is>
          <t>F59</t>
        </is>
      </c>
      <c r="B149" t="inlineStr">
        <is>
          <t>dividends_paid prior-year YTD 2025-01-01 to 2025-06-30</t>
        </is>
      </c>
      <c r="C149" s="48" t="n">
        <v>631000000</v>
      </c>
      <c r="D149" t="inlineStr">
        <is>
          <t>https://www.sec.gov/Archives/edgar/data/1075531/000107553126000037/</t>
        </is>
      </c>
    </row>
    <row r="150">
      <c r="A150" t="inlineStr">
        <is>
          <t>F60</t>
        </is>
      </c>
      <c r="B150" t="inlineStr">
        <is>
          <t>dividends_paid TTM to 2026-06-30</t>
        </is>
      </c>
      <c r="C150" s="48" t="n">
        <v>1281000000</v>
      </c>
    </row>
    <row r="151">
      <c r="A151" t="inlineStr">
        <is>
          <t>F61</t>
        </is>
      </c>
      <c r="B151" t="inlineStr">
        <is>
          <t>dividends_paid quarter 2026-01-01 to 2026-03-31</t>
        </is>
      </c>
      <c r="C151" s="48" t="n">
        <v>343000000</v>
      </c>
      <c r="D151" t="inlineStr">
        <is>
          <t>https://www.sec.gov/Archives/edgar/data/1075531/000107553126000025/</t>
        </is>
      </c>
    </row>
    <row r="152">
      <c r="A152" t="inlineStr">
        <is>
          <t>F62</t>
        </is>
      </c>
      <c r="B152" t="inlineStr">
        <is>
          <t>interest_expense FY ending 2023-12-31 (us-gaap:InterestExpenseNonoperating)</t>
        </is>
      </c>
      <c r="C152" s="48" t="n">
        <v>897000000</v>
      </c>
      <c r="D152" t="inlineStr">
        <is>
          <t>https://www.sec.gov/Archives/edgar/data/1075531/000107553126000009/</t>
        </is>
      </c>
    </row>
    <row r="153">
      <c r="A153" t="inlineStr">
        <is>
          <t>F63</t>
        </is>
      </c>
      <c r="B153" t="inlineStr">
        <is>
          <t>interest_expense FY ending 2024-12-31 (us-gaap:InterestExpenseNonoperating)</t>
        </is>
      </c>
      <c r="C153" s="48" t="n">
        <v>1295000000</v>
      </c>
      <c r="D153" t="inlineStr">
        <is>
          <t>https://www.sec.gov/Archives/edgar/data/1075531/000107553126000009/</t>
        </is>
      </c>
    </row>
    <row r="154">
      <c r="A154" t="inlineStr">
        <is>
          <t>F64</t>
        </is>
      </c>
      <c r="B154" t="inlineStr">
        <is>
          <t>interest_expense FY ending 2025-12-31 (us-gaap:InterestExpenseNonoperating)</t>
        </is>
      </c>
      <c r="C154" s="48" t="n">
        <v>1617000000</v>
      </c>
      <c r="D154" t="inlineStr">
        <is>
          <t>https://www.sec.gov/Archives/edgar/data/1075531/000107553126000009/</t>
        </is>
      </c>
    </row>
    <row r="155">
      <c r="A155" t="inlineStr">
        <is>
          <t>F65</t>
        </is>
      </c>
      <c r="B155" t="inlineStr">
        <is>
          <t>interest_expense YTD 2026-01-01 to 2026-06-30</t>
        </is>
      </c>
      <c r="C155" s="48" t="n">
        <v>553000000</v>
      </c>
      <c r="D155" t="inlineStr">
        <is>
          <t>https://www.sec.gov/Archives/edgar/data/1075531/000107553126000037/</t>
        </is>
      </c>
    </row>
    <row r="156">
      <c r="A156" t="inlineStr">
        <is>
          <t>F66</t>
        </is>
      </c>
      <c r="B156" t="inlineStr">
        <is>
          <t>interest_expense prior-year YTD 2025-01-01 to 2025-06-30</t>
        </is>
      </c>
      <c r="C156" s="48" t="n">
        <v>1067000000</v>
      </c>
      <c r="D156" t="inlineStr">
        <is>
          <t>https://www.sec.gov/Archives/edgar/data/1075531/000107553126000037/</t>
        </is>
      </c>
    </row>
    <row r="157">
      <c r="A157" t="inlineStr">
        <is>
          <t>F67</t>
        </is>
      </c>
      <c r="B157" t="inlineStr">
        <is>
          <t>interest_expense TTM to 2026-06-30</t>
        </is>
      </c>
      <c r="C157" s="48" t="n">
        <v>1103000000</v>
      </c>
    </row>
    <row r="158">
      <c r="A158" t="inlineStr">
        <is>
          <t>F68</t>
        </is>
      </c>
      <c r="B158" t="inlineStr">
        <is>
          <t>interest_expense quarter 2026-04-01 to 2026-06-30</t>
        </is>
      </c>
      <c r="C158" s="48" t="n">
        <v>300000000</v>
      </c>
      <c r="D158" t="inlineStr">
        <is>
          <t>https://www.sec.gov/Archives/edgar/data/1075531/000107553126000037/</t>
        </is>
      </c>
    </row>
    <row r="159">
      <c r="A159" t="inlineStr">
        <is>
          <t>F69</t>
        </is>
      </c>
      <c r="B159" t="inlineStr">
        <is>
          <t>income_tax FY ending 2023-12-31 (us-gaap:IncomeTaxExpenseBenefit)</t>
        </is>
      </c>
      <c r="C159" s="48" t="n">
        <v>1192000000</v>
      </c>
      <c r="D159" t="inlineStr">
        <is>
          <t>https://www.sec.gov/Archives/edgar/data/1075531/000107553126000009/</t>
        </is>
      </c>
    </row>
    <row r="160">
      <c r="A160" t="inlineStr">
        <is>
          <t>F70</t>
        </is>
      </c>
      <c r="B160" t="inlineStr">
        <is>
          <t>income_tax FY ending 2024-12-31 (us-gaap:IncomeTaxExpenseBenefit)</t>
        </is>
      </c>
      <c r="C160" s="48" t="n">
        <v>1410000000</v>
      </c>
      <c r="D160" t="inlineStr">
        <is>
          <t>https://www.sec.gov/Archives/edgar/data/1075531/000107553126000009/</t>
        </is>
      </c>
    </row>
    <row r="161">
      <c r="A161" t="inlineStr">
        <is>
          <t>F71</t>
        </is>
      </c>
      <c r="B161" t="inlineStr">
        <is>
          <t>income_tax FY ending 2025-12-31 (us-gaap:IncomeTaxExpenseBenefit)</t>
        </is>
      </c>
      <c r="C161" s="48" t="n">
        <v>1428000000</v>
      </c>
      <c r="D161" t="inlineStr">
        <is>
          <t>https://www.sec.gov/Archives/edgar/data/1075531/000107553126000009/</t>
        </is>
      </c>
    </row>
    <row r="162">
      <c r="A162" t="inlineStr">
        <is>
          <t>F72</t>
        </is>
      </c>
      <c r="B162" t="inlineStr">
        <is>
          <t>income_tax YTD 2026-01-01 to 2026-06-30</t>
        </is>
      </c>
      <c r="C162" s="48" t="n">
        <v>926000000</v>
      </c>
      <c r="D162" t="inlineStr">
        <is>
          <t>https://www.sec.gov/Archives/edgar/data/1075531/000107553126000037/</t>
        </is>
      </c>
    </row>
    <row r="163">
      <c r="A163" t="inlineStr">
        <is>
          <t>F73</t>
        </is>
      </c>
      <c r="B163" t="inlineStr">
        <is>
          <t>income_tax prior-year YTD 2025-01-01 to 2025-06-30</t>
        </is>
      </c>
      <c r="C163" s="48" t="n">
        <v>272000000</v>
      </c>
      <c r="D163" t="inlineStr">
        <is>
          <t>https://www.sec.gov/Archives/edgar/data/1075531/000107553126000037/</t>
        </is>
      </c>
    </row>
    <row r="164">
      <c r="A164" t="inlineStr">
        <is>
          <t>F74</t>
        </is>
      </c>
      <c r="B164" t="inlineStr">
        <is>
          <t>income_tax TTM to 2026-06-30</t>
        </is>
      </c>
      <c r="C164" s="48" t="n">
        <v>2082000000</v>
      </c>
    </row>
    <row r="165">
      <c r="A165" t="inlineStr">
        <is>
          <t>F75</t>
        </is>
      </c>
      <c r="B165" t="inlineStr">
        <is>
          <t>income_tax quarter 2026-04-01 to 2026-06-30</t>
        </is>
      </c>
      <c r="C165" s="48" t="n">
        <v>610000000</v>
      </c>
      <c r="D165" t="inlineStr">
        <is>
          <t>https://www.sec.gov/Archives/edgar/data/1075531/000107553126000037/</t>
        </is>
      </c>
    </row>
    <row r="166">
      <c r="A166" t="inlineStr">
        <is>
          <t>F76</t>
        </is>
      </c>
      <c r="B166" t="inlineStr">
        <is>
          <t>pretax_income FY ending 2023-12-31 (us-gaap:IncomeLossFromContinuingOperationsBeforeIncomeTaxesExtraordinaryItemsNoncontrollingInterest)</t>
        </is>
      </c>
      <c r="C166" s="48" t="n">
        <v>5481000000</v>
      </c>
      <c r="D166" t="inlineStr">
        <is>
          <t>https://www.sec.gov/Archives/edgar/data/1075531/000107553126000009/</t>
        </is>
      </c>
    </row>
    <row r="167">
      <c r="A167" t="inlineStr">
        <is>
          <t>F77</t>
        </is>
      </c>
      <c r="B167" t="inlineStr">
        <is>
          <t>pretax_income FY ending 2024-12-31 (us-gaap:IncomeLossFromContinuingOperationsBeforeIncomeTaxesExtraordinaryItemsNoncontrollingInterest)</t>
        </is>
      </c>
      <c r="C167" s="48" t="n">
        <v>7292000000</v>
      </c>
      <c r="D167" t="inlineStr">
        <is>
          <t>https://www.sec.gov/Archives/edgar/data/1075531/000107553126000009/</t>
        </is>
      </c>
    </row>
    <row r="168">
      <c r="A168" t="inlineStr">
        <is>
          <t>F78</t>
        </is>
      </c>
      <c r="B168" t="inlineStr">
        <is>
          <t>pretax_income FY ending 2025-12-31 (us-gaap:IncomeLossFromContinuingOperationsBeforeIncomeTaxesExtraordinaryItemsNoncontrollingInterest)</t>
        </is>
      </c>
      <c r="C168" s="48" t="n">
        <v>6832000000</v>
      </c>
      <c r="D168" t="inlineStr">
        <is>
          <t>https://www.sec.gov/Archives/edgar/data/1075531/000107553126000009/</t>
        </is>
      </c>
    </row>
    <row r="169">
      <c r="A169" t="inlineStr">
        <is>
          <t>F79</t>
        </is>
      </c>
      <c r="B169" t="inlineStr">
        <is>
          <t>pretax_income YTD 2026-01-01 to 2026-06-30</t>
        </is>
      </c>
      <c r="C169" s="48" t="n">
        <v>3959000000</v>
      </c>
      <c r="D169" t="inlineStr">
        <is>
          <t>https://www.sec.gov/Archives/edgar/data/1075531/000107553126000037/</t>
        </is>
      </c>
    </row>
    <row r="170">
      <c r="A170" t="inlineStr">
        <is>
          <t>F80</t>
        </is>
      </c>
      <c r="B170" t="inlineStr">
        <is>
          <t>pretax_income prior-year YTD 2025-01-01 to 2025-06-30</t>
        </is>
      </c>
      <c r="C170" s="48" t="n">
        <v>1500000000</v>
      </c>
      <c r="D170" t="inlineStr">
        <is>
          <t>https://www.sec.gov/Archives/edgar/data/1075531/000107553126000037/</t>
        </is>
      </c>
    </row>
    <row r="171">
      <c r="A171" t="inlineStr">
        <is>
          <t>F81</t>
        </is>
      </c>
      <c r="B171" t="inlineStr">
        <is>
          <t>pretax_income TTM to 2026-06-30</t>
        </is>
      </c>
      <c r="C171" s="48" t="n">
        <v>9291000000</v>
      </c>
    </row>
    <row r="172">
      <c r="A172" t="inlineStr">
        <is>
          <t>F82</t>
        </is>
      </c>
      <c r="B172" t="inlineStr">
        <is>
          <t>pretax_income quarter 2026-04-01 to 2026-06-30</t>
        </is>
      </c>
      <c r="C172" s="48" t="n">
        <v>2560000000</v>
      </c>
      <c r="D172" t="inlineStr">
        <is>
          <t>https://www.sec.gov/Archives/edgar/data/1075531/000107553126000037/</t>
        </is>
      </c>
    </row>
    <row r="173">
      <c r="A173" t="inlineStr">
        <is>
          <t>F83</t>
        </is>
      </c>
      <c r="B173" t="inlineStr">
        <is>
          <t>cash at 2026-06-30 (us-gaap:CashAndCashEquivalentsAtCarryingValue)</t>
        </is>
      </c>
      <c r="C173" s="48" t="n">
        <v>17214000000</v>
      </c>
      <c r="D173" t="inlineStr">
        <is>
          <t>https://www.sec.gov/Archives/edgar/data/1075531/000107553126000037/</t>
        </is>
      </c>
    </row>
    <row r="174">
      <c r="A174" t="inlineStr">
        <is>
          <t>F84</t>
        </is>
      </c>
      <c r="B174" t="inlineStr">
        <is>
          <t>debt_noncurrent at 2026-06-30 (us-gaap:LongTermDebtNoncurrent)</t>
        </is>
      </c>
      <c r="C174" s="48" t="n">
        <v>18180000000</v>
      </c>
      <c r="D174" t="inlineStr">
        <is>
          <t>https://www.sec.gov/Archives/edgar/data/1075531/000107553126000037/</t>
        </is>
      </c>
    </row>
    <row r="175">
      <c r="A175" t="inlineStr">
        <is>
          <t>F85</t>
        </is>
      </c>
      <c r="B175" t="inlineStr">
        <is>
          <t>debt_current at 2026-06-30 (us-gaap:LongTermDebtCurrent)</t>
        </is>
      </c>
      <c r="C175" s="48" t="n">
        <v>2000000000</v>
      </c>
      <c r="D175" t="inlineStr">
        <is>
          <t>https://www.sec.gov/Archives/edgar/data/1075531/000107553126000037/</t>
        </is>
      </c>
    </row>
    <row r="176">
      <c r="A176" t="inlineStr">
        <is>
          <t>F86</t>
        </is>
      </c>
      <c r="B176" t="inlineStr">
        <is>
          <t>equity at 2026-06-30 (us-gaap:StockholdersEquity)</t>
        </is>
      </c>
      <c r="C176" s="48" t="n">
        <v>-10783000000</v>
      </c>
      <c r="D176" t="inlineStr">
        <is>
          <t>https://www.sec.gov/Archives/edgar/data/1075531/000107553126000037/</t>
        </is>
      </c>
    </row>
    <row r="177">
      <c r="A177" t="inlineStr">
        <is>
          <t>F87</t>
        </is>
      </c>
      <c r="B177" t="inlineStr">
        <is>
          <t>shares outstanding (cover page, 1 class(es)) as of 2026-07-27</t>
        </is>
      </c>
      <c r="C177" s="48" t="n">
        <v>751380500</v>
      </c>
      <c r="D177" t="inlineStr">
        <is>
          <t>https://www.sec.gov/Archives/edgar/data/1075531/000107553126000037/</t>
        </is>
      </c>
    </row>
    <row r="178">
      <c r="A178" t="inlineStr">
        <is>
          <t>F88</t>
        </is>
      </c>
      <c r="B178" t="inlineStr">
        <is>
          <t>total debt (XBRL tags; excludes leases unless tagged in; check the balance sheet)</t>
        </is>
      </c>
      <c r="C178" s="48" t="n">
        <v>20180000000</v>
      </c>
    </row>
    <row r="179">
      <c r="A179" t="inlineStr">
        <is>
          <t>F89</t>
        </is>
      </c>
      <c r="B179" t="inlineStr">
        <is>
          <t>net debt = debt - cash - short-term investments</t>
        </is>
      </c>
      <c r="C179" s="48" t="n">
        <v>2966000000</v>
      </c>
    </row>
    <row r="180">
      <c r="A180" t="inlineStr">
        <is>
          <t>F90</t>
        </is>
      </c>
      <c r="B180" t="inlineStr">
        <is>
          <t>EBITDA TTM (GAAP operating income + D&amp;A; not the company's adjusted EBITDA)</t>
        </is>
      </c>
      <c r="C180" s="48" t="n">
        <v>9855000000</v>
      </c>
    </row>
    <row r="181">
      <c r="A181" t="inlineStr">
        <is>
          <t>F91</t>
        </is>
      </c>
      <c r="B181" t="inlineStr">
        <is>
          <t>free cash flow TTM = operating cash flow - capex (before SBC adjustment)</t>
        </is>
      </c>
      <c r="C181" s="48" t="n">
        <v>9539000000</v>
      </c>
    </row>
  </sheetData>
  <hyperlinks>
    <hyperlink xmlns:r="http://schemas.openxmlformats.org/officeDocument/2006/relationships" ref="D64" r:id="rId1"/>
    <hyperlink xmlns:r="http://schemas.openxmlformats.org/officeDocument/2006/relationships" ref="D65" r:id="rId2"/>
    <hyperlink xmlns:r="http://schemas.openxmlformats.org/officeDocument/2006/relationships" ref="D66" r:id="rId3"/>
    <hyperlink xmlns:r="http://schemas.openxmlformats.org/officeDocument/2006/relationships" ref="D67" r:id="rId4"/>
    <hyperlink xmlns:r="http://schemas.openxmlformats.org/officeDocument/2006/relationships" ref="D68" r:id="rId5"/>
    <hyperlink xmlns:r="http://schemas.openxmlformats.org/officeDocument/2006/relationships" ref="D69" r:id="rId6"/>
    <hyperlink xmlns:r="http://schemas.openxmlformats.org/officeDocument/2006/relationships" ref="D70" r:id="rId7"/>
    <hyperlink xmlns:r="http://schemas.openxmlformats.org/officeDocument/2006/relationships" ref="D71" r:id="rId8"/>
    <hyperlink xmlns:r="http://schemas.openxmlformats.org/officeDocument/2006/relationships" ref="D72" r:id="rId9"/>
    <hyperlink xmlns:r="http://schemas.openxmlformats.org/officeDocument/2006/relationships" ref="D73" r:id="rId10"/>
    <hyperlink xmlns:r="http://schemas.openxmlformats.org/officeDocument/2006/relationships" ref="D74" r:id="rId11"/>
    <hyperlink xmlns:r="http://schemas.openxmlformats.org/officeDocument/2006/relationships" ref="D75" r:id="rId12"/>
    <hyperlink xmlns:r="http://schemas.openxmlformats.org/officeDocument/2006/relationships" ref="D76" r:id="rId13"/>
    <hyperlink xmlns:r="http://schemas.openxmlformats.org/officeDocument/2006/relationships" ref="D77" r:id="rId14"/>
    <hyperlink xmlns:r="http://schemas.openxmlformats.org/officeDocument/2006/relationships" ref="D78" r:id="rId15"/>
    <hyperlink xmlns:r="http://schemas.openxmlformats.org/officeDocument/2006/relationships" ref="D79" r:id="rId16"/>
    <hyperlink xmlns:r="http://schemas.openxmlformats.org/officeDocument/2006/relationships" ref="D80" r:id="rId17"/>
    <hyperlink xmlns:r="http://schemas.openxmlformats.org/officeDocument/2006/relationships" ref="D81" r:id="rId18"/>
    <hyperlink xmlns:r="http://schemas.openxmlformats.org/officeDocument/2006/relationships" ref="D82" r:id="rId19"/>
    <hyperlink xmlns:r="http://schemas.openxmlformats.org/officeDocument/2006/relationships" ref="D83" r:id="rId20"/>
    <hyperlink xmlns:r="http://schemas.openxmlformats.org/officeDocument/2006/relationships" ref="D84" r:id="rId21"/>
    <hyperlink xmlns:r="http://schemas.openxmlformats.org/officeDocument/2006/relationships" ref="D85" r:id="rId22"/>
    <hyperlink xmlns:r="http://schemas.openxmlformats.org/officeDocument/2006/relationships" ref="D86" r:id="rId23"/>
    <hyperlink xmlns:r="http://schemas.openxmlformats.org/officeDocument/2006/relationships" ref="D87" r:id="rId24"/>
    <hyperlink xmlns:r="http://schemas.openxmlformats.org/officeDocument/2006/relationships" ref="D88" r:id="rId25"/>
    <hyperlink xmlns:r="http://schemas.openxmlformats.org/officeDocument/2006/relationships" ref="D91" r:id="rId26"/>
    <hyperlink xmlns:r="http://schemas.openxmlformats.org/officeDocument/2006/relationships" ref="D92" r:id="rId27"/>
    <hyperlink xmlns:r="http://schemas.openxmlformats.org/officeDocument/2006/relationships" ref="D93" r:id="rId28"/>
    <hyperlink xmlns:r="http://schemas.openxmlformats.org/officeDocument/2006/relationships" ref="D94" r:id="rId29"/>
    <hyperlink xmlns:r="http://schemas.openxmlformats.org/officeDocument/2006/relationships" ref="D95" r:id="rId30"/>
    <hyperlink xmlns:r="http://schemas.openxmlformats.org/officeDocument/2006/relationships" ref="D97" r:id="rId31"/>
    <hyperlink xmlns:r="http://schemas.openxmlformats.org/officeDocument/2006/relationships" ref="D98" r:id="rId32"/>
    <hyperlink xmlns:r="http://schemas.openxmlformats.org/officeDocument/2006/relationships" ref="D99" r:id="rId33"/>
    <hyperlink xmlns:r="http://schemas.openxmlformats.org/officeDocument/2006/relationships" ref="D100" r:id="rId34"/>
    <hyperlink xmlns:r="http://schemas.openxmlformats.org/officeDocument/2006/relationships" ref="D101" r:id="rId35"/>
    <hyperlink xmlns:r="http://schemas.openxmlformats.org/officeDocument/2006/relationships" ref="D102" r:id="rId36"/>
    <hyperlink xmlns:r="http://schemas.openxmlformats.org/officeDocument/2006/relationships" ref="D104" r:id="rId37"/>
    <hyperlink xmlns:r="http://schemas.openxmlformats.org/officeDocument/2006/relationships" ref="D105" r:id="rId38"/>
    <hyperlink xmlns:r="http://schemas.openxmlformats.org/officeDocument/2006/relationships" ref="D106" r:id="rId39"/>
    <hyperlink xmlns:r="http://schemas.openxmlformats.org/officeDocument/2006/relationships" ref="D107" r:id="rId40"/>
    <hyperlink xmlns:r="http://schemas.openxmlformats.org/officeDocument/2006/relationships" ref="D108" r:id="rId41"/>
    <hyperlink xmlns:r="http://schemas.openxmlformats.org/officeDocument/2006/relationships" ref="D109" r:id="rId42"/>
    <hyperlink xmlns:r="http://schemas.openxmlformats.org/officeDocument/2006/relationships" ref="D110" r:id="rId43"/>
    <hyperlink xmlns:r="http://schemas.openxmlformats.org/officeDocument/2006/relationships" ref="D111" r:id="rId44"/>
    <hyperlink xmlns:r="http://schemas.openxmlformats.org/officeDocument/2006/relationships" ref="D112" r:id="rId45"/>
    <hyperlink xmlns:r="http://schemas.openxmlformats.org/officeDocument/2006/relationships" ref="D113" r:id="rId46"/>
    <hyperlink xmlns:r="http://schemas.openxmlformats.org/officeDocument/2006/relationships" ref="D114" r:id="rId47"/>
    <hyperlink xmlns:r="http://schemas.openxmlformats.org/officeDocument/2006/relationships" ref="D115" r:id="rId48"/>
    <hyperlink xmlns:r="http://schemas.openxmlformats.org/officeDocument/2006/relationships" ref="D116" r:id="rId49"/>
    <hyperlink xmlns:r="http://schemas.openxmlformats.org/officeDocument/2006/relationships" ref="D117" r:id="rId50"/>
    <hyperlink xmlns:r="http://schemas.openxmlformats.org/officeDocument/2006/relationships" ref="D118" r:id="rId51"/>
    <hyperlink xmlns:r="http://schemas.openxmlformats.org/officeDocument/2006/relationships" ref="D119" r:id="rId52"/>
    <hyperlink xmlns:r="http://schemas.openxmlformats.org/officeDocument/2006/relationships" ref="D120" r:id="rId53"/>
    <hyperlink xmlns:r="http://schemas.openxmlformats.org/officeDocument/2006/relationships" ref="D121" r:id="rId54"/>
    <hyperlink xmlns:r="http://schemas.openxmlformats.org/officeDocument/2006/relationships" ref="D123" r:id="rId55"/>
    <hyperlink xmlns:r="http://schemas.openxmlformats.org/officeDocument/2006/relationships" ref="D124" r:id="rId56"/>
    <hyperlink xmlns:r="http://schemas.openxmlformats.org/officeDocument/2006/relationships" ref="D125" r:id="rId57"/>
    <hyperlink xmlns:r="http://schemas.openxmlformats.org/officeDocument/2006/relationships" ref="D126" r:id="rId58"/>
    <hyperlink xmlns:r="http://schemas.openxmlformats.org/officeDocument/2006/relationships" ref="D127" r:id="rId59"/>
    <hyperlink xmlns:r="http://schemas.openxmlformats.org/officeDocument/2006/relationships" ref="D128" r:id="rId60"/>
    <hyperlink xmlns:r="http://schemas.openxmlformats.org/officeDocument/2006/relationships" ref="D130" r:id="rId61"/>
    <hyperlink xmlns:r="http://schemas.openxmlformats.org/officeDocument/2006/relationships" ref="D131" r:id="rId62"/>
    <hyperlink xmlns:r="http://schemas.openxmlformats.org/officeDocument/2006/relationships" ref="D132" r:id="rId63"/>
    <hyperlink xmlns:r="http://schemas.openxmlformats.org/officeDocument/2006/relationships" ref="D133" r:id="rId64"/>
    <hyperlink xmlns:r="http://schemas.openxmlformats.org/officeDocument/2006/relationships" ref="D134" r:id="rId65"/>
    <hyperlink xmlns:r="http://schemas.openxmlformats.org/officeDocument/2006/relationships" ref="D135" r:id="rId66"/>
    <hyperlink xmlns:r="http://schemas.openxmlformats.org/officeDocument/2006/relationships" ref="D137" r:id="rId67"/>
    <hyperlink xmlns:r="http://schemas.openxmlformats.org/officeDocument/2006/relationships" ref="D138" r:id="rId68"/>
    <hyperlink xmlns:r="http://schemas.openxmlformats.org/officeDocument/2006/relationships" ref="D139" r:id="rId69"/>
    <hyperlink xmlns:r="http://schemas.openxmlformats.org/officeDocument/2006/relationships" ref="D140" r:id="rId70"/>
    <hyperlink xmlns:r="http://schemas.openxmlformats.org/officeDocument/2006/relationships" ref="D141" r:id="rId71"/>
    <hyperlink xmlns:r="http://schemas.openxmlformats.org/officeDocument/2006/relationships" ref="D142" r:id="rId72"/>
    <hyperlink xmlns:r="http://schemas.openxmlformats.org/officeDocument/2006/relationships" ref="D144" r:id="rId73"/>
    <hyperlink xmlns:r="http://schemas.openxmlformats.org/officeDocument/2006/relationships" ref="D145" r:id="rId74"/>
    <hyperlink xmlns:r="http://schemas.openxmlformats.org/officeDocument/2006/relationships" ref="D146" r:id="rId75"/>
    <hyperlink xmlns:r="http://schemas.openxmlformats.org/officeDocument/2006/relationships" ref="D147" r:id="rId76"/>
    <hyperlink xmlns:r="http://schemas.openxmlformats.org/officeDocument/2006/relationships" ref="D148" r:id="rId77"/>
    <hyperlink xmlns:r="http://schemas.openxmlformats.org/officeDocument/2006/relationships" ref="D149" r:id="rId78"/>
    <hyperlink xmlns:r="http://schemas.openxmlformats.org/officeDocument/2006/relationships" ref="D151" r:id="rId79"/>
    <hyperlink xmlns:r="http://schemas.openxmlformats.org/officeDocument/2006/relationships" ref="D152" r:id="rId80"/>
    <hyperlink xmlns:r="http://schemas.openxmlformats.org/officeDocument/2006/relationships" ref="D153" r:id="rId81"/>
    <hyperlink xmlns:r="http://schemas.openxmlformats.org/officeDocument/2006/relationships" ref="D154" r:id="rId82"/>
    <hyperlink xmlns:r="http://schemas.openxmlformats.org/officeDocument/2006/relationships" ref="D155" r:id="rId83"/>
    <hyperlink xmlns:r="http://schemas.openxmlformats.org/officeDocument/2006/relationships" ref="D156" r:id="rId84"/>
    <hyperlink xmlns:r="http://schemas.openxmlformats.org/officeDocument/2006/relationships" ref="D158" r:id="rId85"/>
    <hyperlink xmlns:r="http://schemas.openxmlformats.org/officeDocument/2006/relationships" ref="D159" r:id="rId86"/>
    <hyperlink xmlns:r="http://schemas.openxmlformats.org/officeDocument/2006/relationships" ref="D160" r:id="rId87"/>
    <hyperlink xmlns:r="http://schemas.openxmlformats.org/officeDocument/2006/relationships" ref="D161" r:id="rId88"/>
    <hyperlink xmlns:r="http://schemas.openxmlformats.org/officeDocument/2006/relationships" ref="D162" r:id="rId89"/>
    <hyperlink xmlns:r="http://schemas.openxmlformats.org/officeDocument/2006/relationships" ref="D163" r:id="rId90"/>
    <hyperlink xmlns:r="http://schemas.openxmlformats.org/officeDocument/2006/relationships" ref="D165" r:id="rId91"/>
    <hyperlink xmlns:r="http://schemas.openxmlformats.org/officeDocument/2006/relationships" ref="D166" r:id="rId92"/>
    <hyperlink xmlns:r="http://schemas.openxmlformats.org/officeDocument/2006/relationships" ref="D167" r:id="rId93"/>
    <hyperlink xmlns:r="http://schemas.openxmlformats.org/officeDocument/2006/relationships" ref="D168" r:id="rId94"/>
    <hyperlink xmlns:r="http://schemas.openxmlformats.org/officeDocument/2006/relationships" ref="D169" r:id="rId95"/>
    <hyperlink xmlns:r="http://schemas.openxmlformats.org/officeDocument/2006/relationships" ref="D170" r:id="rId96"/>
    <hyperlink xmlns:r="http://schemas.openxmlformats.org/officeDocument/2006/relationships" ref="D172" r:id="rId97"/>
    <hyperlink xmlns:r="http://schemas.openxmlformats.org/officeDocument/2006/relationships" ref="D173" r:id="rId98"/>
    <hyperlink xmlns:r="http://schemas.openxmlformats.org/officeDocument/2006/relationships" ref="D174" r:id="rId99"/>
    <hyperlink xmlns:r="http://schemas.openxmlformats.org/officeDocument/2006/relationships" ref="D175" r:id="rId100"/>
    <hyperlink xmlns:r="http://schemas.openxmlformats.org/officeDocument/2006/relationships" ref="D176" r:id="rId101"/>
    <hyperlink xmlns:r="http://schemas.openxmlformats.org/officeDocument/2006/relationships" ref="D177" r:id="rId1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2026-10-26T22:41:29Z</dcterms:created>
  <dcterms:modified xmlns:dcterms="http://purl.org/dc/terms/" xmlns:xsi="http://www.w3.org/2001/XMLSchema-instance" xsi:type="dcterms:W3CDTF">2026-10-26T22:41:29Z</dcterms:modified>
</cp:coreProperties>
</file>