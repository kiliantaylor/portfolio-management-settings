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.000"/>
    <numFmt numFmtId="172" formatCode="0.0000"/>
    <numFmt numFmtId="173" formatCode="0.0&quot;x&quot;"/>
    <numFmt numFmtId="174" formatCode="+0.0%;-0.0%;0.0%"/>
    <numFmt numFmtId="175" formatCode="yyyy-mm-dd hh:mm"/>
  </numFmts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7030A0"/>
    </font>
    <font>
      <color rgb="00C55A1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8" fillId="0" borderId="0" pivotButton="0" quotePrefix="0" xfId="0"/>
    <xf numFmtId="175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8" fillId="0" borderId="0" pivotButton="0" quotePrefix="0" xfId="0"/>
    <xf numFmtId="2" fontId="0" fillId="0" borderId="0" pivotButton="0" quotePrefix="0" xfId="0"/>
    <xf numFmtId="165" fontId="8" fillId="0" borderId="0" pivotButton="0" quotePrefix="0" xfId="0"/>
    <xf numFmtId="0" fontId="3" fillId="0" borderId="0" pivotButton="0" quotePrefix="0" xfId="0"/>
    <xf numFmtId="166" fontId="8" fillId="0" borderId="0" pivotButton="0" quotePrefix="0" xfId="0"/>
    <xf numFmtId="169" fontId="8" fillId="0" borderId="0" pivotButton="0" quotePrefix="0" xfId="0"/>
    <xf numFmtId="0" fontId="7" fillId="0" borderId="0" pivotButton="0" quotePrefix="0" xfId="0"/>
    <xf numFmtId="169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5" fontId="1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5" fontId="6" fillId="0" borderId="0" pivotButton="0" quotePrefix="0" xfId="0"/>
    <xf numFmtId="4" fontId="8" fillId="0" borderId="0" pivotButton="0" quotePrefix="0" xfId="0"/>
    <xf numFmtId="168" fontId="8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3" fontId="1" fillId="0" borderId="0" pivotButton="0" quotePrefix="0" xfId="0"/>
    <xf numFmtId="174" fontId="1" fillId="0" borderId="0" pivotButton="0" quotePrefix="0" xfId="0"/>
    <xf numFmtId="172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4" fontId="0" fillId="0" borderId="0" pivotButton="0" quotePrefix="0" xfId="0"/>
    <xf numFmtId="170" fontId="8" fillId="0" borderId="0" pivotButton="0" quotePrefix="0" xfId="0"/>
    <xf numFmtId="17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sec.gov/Archives/edgar/data/1065280/000106528026000290/ex991_q326.htm" TargetMode="External" Id="rId1"/><Relationship Type="http://schemas.openxmlformats.org/officeDocument/2006/relationships/hyperlink" Target="https://www.sec.gov/Archives/edgar/data/1065280/000106528026000034/nflx-20251231.htm" TargetMode="External" Id="rId2"/><Relationship Type="http://schemas.openxmlformats.org/officeDocument/2006/relationships/hyperlink" Target="https://www.sec.gov/Archives/edgar/data/1437107/000119312526415055/d200872d8k.htm" TargetMode="External" Id="rId3"/><Relationship Type="http://schemas.openxmlformats.org/officeDocument/2006/relationships/hyperlink" Target="https://ny1.com/nyc/all-boroughs/ap-top-news/2026/09/30/judge-approves-paramounts-settlement-with-states-over-warner-buyout-allowing-merger-to-soon-close" TargetMode="External" Id="rId4"/><Relationship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 Id="rId5"/><Relationship Type="http://schemas.openxmlformats.org/officeDocument/2006/relationships/hyperlink" Target="https://api.nasdaq.com/api/analyst/NFLX/earnings-forecast" TargetMode="External" Id="rId6"/><Relationship Type="http://schemas.openxmlformats.org/officeDocument/2006/relationships/hyperlink" Target="https://api.nasdaq.com/api/analyst/META/earnings-forecast" TargetMode="External" Id="rId7"/><Relationship Type="http://schemas.openxmlformats.org/officeDocument/2006/relationships/hyperlink" Target="https://www.investing.com/news/transcripts/earnings-call-transcript-netflix-beats-q3-2026-estimates-but-shares-fall-after-hours-93CH-4961240" TargetMode="External" Id="rId8"/><Relationship Type="http://schemas.openxmlformats.org/officeDocument/2006/relationships/hyperlink" Target="https://data.sec.gov/api/xbrl/companyfacts/CIK0001065280.json" TargetMode="External" Id="rId9"/><Relationship Type="http://schemas.openxmlformats.org/officeDocument/2006/relationships/hyperlink" Target="https://query1.finance.yahoo.com/v8/finance/chart/NFLX" TargetMode="External" Id="rId10"/><Relationship Type="http://schemas.openxmlformats.org/officeDocument/2006/relationships/hyperlink" Target="https://data.sec.gov/submissions/CIK0001437107.json" TargetMode="External" Id="rId11"/><Relationship Type="http://schemas.openxmlformats.org/officeDocument/2006/relationships/hyperlink" Target="runs/2026-10-20/NFLX/peers.md" TargetMode="External" Id="rId12"/><Relationship Type="http://schemas.openxmlformats.org/officeDocument/2006/relationships/hyperlink" Target="https://data.sec.gov/submissions/CIK0001428439.json" TargetMode="External" Id="rId13"/><Relationship Type="http://schemas.openxmlformats.org/officeDocument/2006/relationships/hyperlink" Target="https://data.sec.gov/submissions/CIK0001754301.json" TargetMode="External" Id="rId14"/><Relationship Type="http://schemas.openxmlformats.org/officeDocument/2006/relationships/hyperlink" Target="https://stockanalysis.com/stocks/nflx/forecast/" TargetMode="External" Id="rId15"/><Relationship Type="http://schemas.openxmlformats.org/officeDocument/2006/relationships/hyperlink" Target="https://www.mediapost.com/publications/article/417308/" TargetMode="External" Id="rId16"/><Relationship Type="http://schemas.openxmlformats.org/officeDocument/2006/relationships/hyperlink" Target="https://www.nielsen.com/news-center/2025/netflix-breaks-into-top-3-media-distributors-for-the-first-time-in-nielsens-june-2025-media-distributor-gauge/" TargetMode="External" Id="rId17"/><Relationship Type="http://schemas.openxmlformats.org/officeDocument/2006/relationships/hyperlink" Target="https://www.nielsen.com/news-center/2026/tv-usage-kicks-usual-summer-slowdown-fueled-by-world-cup-and-streaming-in-nielsens-july-gauge-reports/" TargetMode="External" Id="rId18"/><Relationship Type="http://schemas.openxmlformats.org/officeDocument/2006/relationships/hyperlink" Target="https://api.nasdaq.com/api/analyst/SPOT/earnings-forecast" TargetMode="External" Id="rId19"/><Relationship Type="http://schemas.openxmlformats.org/officeDocument/2006/relationships/hyperlink" Target="https://api.nasdaq.com/api/analyst/SONY/earnings-forecast" TargetMode="External" Id="rId20"/><Relationship Type="http://schemas.openxmlformats.org/officeDocument/2006/relationships/hyperlink" Target="https://www.sec.gov/Archives/edgar/data/1639920/000162828026066889/spot-20260930x6xk.htm" TargetMode="External" Id="rId21"/><Relationship Type="http://schemas.openxmlformats.org/officeDocument/2006/relationships/hyperlink" Target="https://www.sec.gov/Archives/edgar/data/313838/000110465926088915/tm2621477d1_6k.htm" TargetMode="External" Id="rId22"/><Relationship Type="http://schemas.openxmlformats.org/officeDocument/2006/relationships/hyperlink" Target="https://api.nasdaq.com/api/company/SPOT/earnings-surprise" TargetMode="External" Id="rId23"/><Relationship Type="http://schemas.openxmlformats.org/officeDocument/2006/relationships/hyperlink" Target="https://query1.finance.yahoo.com/v8/finance/chart/JPY=X" TargetMode="External" Id="rId24"/><Relationship Type="http://schemas.openxmlformats.org/officeDocument/2006/relationships/hyperlink" Target="runs/2026-10-23/NFLX/peers.md" TargetMode="External" Id="rId25"/><Relationship Type="http://schemas.openxmlformats.org/officeDocument/2006/relationships/hyperlink" Target="https://api.nasdaq.com/api/analyst/GOOGL/earnings-forecast" TargetMode="External" Id="rId26"/><Relationship Type="http://schemas.openxmlformats.org/officeDocument/2006/relationships/hyperlink" Target="https://www.sec.gov/Archives/edgar/data/1744489/000174448926000056/fy2026_q3xerxex991.htm" TargetMode="External" Id="rId27"/><Relationship Type="http://schemas.openxmlformats.org/officeDocument/2006/relationships/hyperlink" Target="https://data.sec.gov/api/xbrl/companyfacts/CIK0001652044.json" TargetMode="External" Id="rId28"/><Relationship Type="http://schemas.openxmlformats.org/officeDocument/2006/relationships/hyperlink" Target="https://api.nasdaq.com/api/company/GOOGL/earnings-surprise" TargetMode="External" Id="rId29"/><Relationship Type="http://schemas.openxmlformats.org/officeDocument/2006/relationships/hyperlink" Target="https://data.sec.gov/api/xbrl/companyconcept/CIK0001326801/us-gaap/EarningsPerShareDiluted.json" TargetMode="External" Id="rId30"/><Relationship Type="http://schemas.openxmlformats.org/officeDocument/2006/relationships/hyperlink" Target="METHOD.md" TargetMode="External" Id="rId31"/><Relationship Type="http://schemas.openxmlformats.org/officeDocument/2006/relationships/hyperlink" Target="https://www.sec.gov/Archives/edgar/data/1065280/000106528026000034/" TargetMode="External" Id="rId32"/><Relationship Type="http://schemas.openxmlformats.org/officeDocument/2006/relationships/hyperlink" Target="https://www.sec.gov/Archives/edgar/data/1065280/000106528026000034/" TargetMode="External" Id="rId33"/><Relationship Type="http://schemas.openxmlformats.org/officeDocument/2006/relationships/hyperlink" Target="https://www.sec.gov/Archives/edgar/data/1065280/000106528026000034/" TargetMode="External" Id="rId34"/><Relationship Type="http://schemas.openxmlformats.org/officeDocument/2006/relationships/hyperlink" Target="https://www.sec.gov/Archives/edgar/data/1065280/000106528026000291/" TargetMode="External" Id="rId35"/><Relationship Type="http://schemas.openxmlformats.org/officeDocument/2006/relationships/hyperlink" Target="https://www.sec.gov/Archives/edgar/data/1065280/000106528026000291/" TargetMode="External" Id="rId36"/><Relationship Type="http://schemas.openxmlformats.org/officeDocument/2006/relationships/hyperlink" Target="https://www.sec.gov/Archives/edgar/data/1065280/000106528026000291/" TargetMode="External" Id="rId37"/><Relationship Type="http://schemas.openxmlformats.org/officeDocument/2006/relationships/hyperlink" Target="https://www.sec.gov/Archives/edgar/data/1065280/000106528026000034/" TargetMode="External" Id="rId38"/><Relationship Type="http://schemas.openxmlformats.org/officeDocument/2006/relationships/hyperlink" Target="https://www.sec.gov/Archives/edgar/data/1065280/000106528026000034/" TargetMode="External" Id="rId39"/><Relationship Type="http://schemas.openxmlformats.org/officeDocument/2006/relationships/hyperlink" Target="https://www.sec.gov/Archives/edgar/data/1065280/000106528026000034/" TargetMode="External" Id="rId40"/><Relationship Type="http://schemas.openxmlformats.org/officeDocument/2006/relationships/hyperlink" Target="https://www.sec.gov/Archives/edgar/data/1065280/000106528026000291/" TargetMode="External" Id="rId41"/><Relationship Type="http://schemas.openxmlformats.org/officeDocument/2006/relationships/hyperlink" Target="https://www.sec.gov/Archives/edgar/data/1065280/000106528026000291/" TargetMode="External" Id="rId42"/><Relationship Type="http://schemas.openxmlformats.org/officeDocument/2006/relationships/hyperlink" Target="https://www.sec.gov/Archives/edgar/data/1065280/000106528026000291/" TargetMode="External" Id="rId43"/><Relationship Type="http://schemas.openxmlformats.org/officeDocument/2006/relationships/hyperlink" Target="https://www.sec.gov/Archives/edgar/data/1065280/000106528026000034/" TargetMode="External" Id="rId44"/><Relationship Type="http://schemas.openxmlformats.org/officeDocument/2006/relationships/hyperlink" Target="https://www.sec.gov/Archives/edgar/data/1065280/000106528026000034/" TargetMode="External" Id="rId45"/><Relationship Type="http://schemas.openxmlformats.org/officeDocument/2006/relationships/hyperlink" Target="https://www.sec.gov/Archives/edgar/data/1065280/000106528026000034/" TargetMode="External" Id="rId46"/><Relationship Type="http://schemas.openxmlformats.org/officeDocument/2006/relationships/hyperlink" Target="https://www.sec.gov/Archives/edgar/data/1065280/000106528026000291/" TargetMode="External" Id="rId47"/><Relationship Type="http://schemas.openxmlformats.org/officeDocument/2006/relationships/hyperlink" Target="https://www.sec.gov/Archives/edgar/data/1065280/000106528026000291/" TargetMode="External" Id="rId48"/><Relationship Type="http://schemas.openxmlformats.org/officeDocument/2006/relationships/hyperlink" Target="https://www.sec.gov/Archives/edgar/data/1065280/000106528026000291/" TargetMode="External" Id="rId49"/><Relationship Type="http://schemas.openxmlformats.org/officeDocument/2006/relationships/hyperlink" Target="https://www.sec.gov/Archives/edgar/data/1065280/000106528026000034/" TargetMode="External" Id="rId50"/><Relationship Type="http://schemas.openxmlformats.org/officeDocument/2006/relationships/hyperlink" Target="https://www.sec.gov/Archives/edgar/data/1065280/000106528026000034/" TargetMode="External" Id="rId51"/><Relationship Type="http://schemas.openxmlformats.org/officeDocument/2006/relationships/hyperlink" Target="https://www.sec.gov/Archives/edgar/data/1065280/000106528026000034/" TargetMode="External" Id="rId52"/><Relationship Type="http://schemas.openxmlformats.org/officeDocument/2006/relationships/hyperlink" Target="https://www.sec.gov/Archives/edgar/data/1065280/000106528026000291/" TargetMode="External" Id="rId53"/><Relationship Type="http://schemas.openxmlformats.org/officeDocument/2006/relationships/hyperlink" Target="https://www.sec.gov/Archives/edgar/data/1065280/000106528026000291/" TargetMode="External" Id="rId54"/><Relationship Type="http://schemas.openxmlformats.org/officeDocument/2006/relationships/hyperlink" Target="https://www.sec.gov/Archives/edgar/data/1065280/000106528026000291/" TargetMode="External" Id="rId55"/><Relationship Type="http://schemas.openxmlformats.org/officeDocument/2006/relationships/hyperlink" Target="https://www.sec.gov/Archives/edgar/data/1065280/000106528026000034/" TargetMode="External" Id="rId56"/><Relationship Type="http://schemas.openxmlformats.org/officeDocument/2006/relationships/hyperlink" Target="https://www.sec.gov/Archives/edgar/data/1065280/000106528026000034/" TargetMode="External" Id="rId57"/><Relationship Type="http://schemas.openxmlformats.org/officeDocument/2006/relationships/hyperlink" Target="https://www.sec.gov/Archives/edgar/data/1065280/000106528026000034/" TargetMode="External" Id="rId58"/><Relationship Type="http://schemas.openxmlformats.org/officeDocument/2006/relationships/hyperlink" Target="https://www.sec.gov/Archives/edgar/data/1065280/000106528026000291/" TargetMode="External" Id="rId59"/><Relationship Type="http://schemas.openxmlformats.org/officeDocument/2006/relationships/hyperlink" Target="https://www.sec.gov/Archives/edgar/data/1065280/000106528026000291/" TargetMode="External" Id="rId60"/><Relationship Type="http://schemas.openxmlformats.org/officeDocument/2006/relationships/hyperlink" Target="https://www.sec.gov/Archives/edgar/data/1065280/000106528026000291/" TargetMode="External" Id="rId61"/><Relationship Type="http://schemas.openxmlformats.org/officeDocument/2006/relationships/hyperlink" Target="https://www.sec.gov/Archives/edgar/data/1065280/000106528026000034/" TargetMode="External" Id="rId62"/><Relationship Type="http://schemas.openxmlformats.org/officeDocument/2006/relationships/hyperlink" Target="https://www.sec.gov/Archives/edgar/data/1065280/000106528026000034/" TargetMode="External" Id="rId63"/><Relationship Type="http://schemas.openxmlformats.org/officeDocument/2006/relationships/hyperlink" Target="https://www.sec.gov/Archives/edgar/data/1065280/000106528026000034/" TargetMode="External" Id="rId64"/><Relationship Type="http://schemas.openxmlformats.org/officeDocument/2006/relationships/hyperlink" Target="https://www.sec.gov/Archives/edgar/data/1065280/000106528026000291/" TargetMode="External" Id="rId65"/><Relationship Type="http://schemas.openxmlformats.org/officeDocument/2006/relationships/hyperlink" Target="https://www.sec.gov/Archives/edgar/data/1065280/000106528026000291/" TargetMode="External" Id="rId66"/><Relationship Type="http://schemas.openxmlformats.org/officeDocument/2006/relationships/hyperlink" Target="https://www.sec.gov/Archives/edgar/data/1065280/000106528026000291/" TargetMode="External" Id="rId67"/><Relationship Type="http://schemas.openxmlformats.org/officeDocument/2006/relationships/hyperlink" Target="https://www.sec.gov/Archives/edgar/data/1065280/000106528026000034/" TargetMode="External" Id="rId68"/><Relationship Type="http://schemas.openxmlformats.org/officeDocument/2006/relationships/hyperlink" Target="https://www.sec.gov/Archives/edgar/data/1065280/000106528026000034/" TargetMode="External" Id="rId69"/><Relationship Type="http://schemas.openxmlformats.org/officeDocument/2006/relationships/hyperlink" Target="https://www.sec.gov/Archives/edgar/data/1065280/000106528026000034/" TargetMode="External" Id="rId70"/><Relationship Type="http://schemas.openxmlformats.org/officeDocument/2006/relationships/hyperlink" Target="https://www.sec.gov/Archives/edgar/data/1065280/000106528026000291/" TargetMode="External" Id="rId71"/><Relationship Type="http://schemas.openxmlformats.org/officeDocument/2006/relationships/hyperlink" Target="https://www.sec.gov/Archives/edgar/data/1065280/000106528026000291/" TargetMode="External" Id="rId72"/><Relationship Type="http://schemas.openxmlformats.org/officeDocument/2006/relationships/hyperlink" Target="https://www.sec.gov/Archives/edgar/data/1065280/000106528026000291/" TargetMode="External" Id="rId73"/><Relationship Type="http://schemas.openxmlformats.org/officeDocument/2006/relationships/hyperlink" Target="https://www.sec.gov/Archives/edgar/data/1065280/000106528026000034/" TargetMode="External" Id="rId74"/><Relationship Type="http://schemas.openxmlformats.org/officeDocument/2006/relationships/hyperlink" Target="https://www.sec.gov/Archives/edgar/data/1065280/000106528026000034/" TargetMode="External" Id="rId75"/><Relationship Type="http://schemas.openxmlformats.org/officeDocument/2006/relationships/hyperlink" Target="https://www.sec.gov/Archives/edgar/data/1065280/000106528026000034/" TargetMode="External" Id="rId76"/><Relationship Type="http://schemas.openxmlformats.org/officeDocument/2006/relationships/hyperlink" Target="https://www.sec.gov/Archives/edgar/data/1065280/000106528026000291/" TargetMode="External" Id="rId77"/><Relationship Type="http://schemas.openxmlformats.org/officeDocument/2006/relationships/hyperlink" Target="https://www.sec.gov/Archives/edgar/data/1065280/000106528026000291/" TargetMode="External" Id="rId78"/><Relationship Type="http://schemas.openxmlformats.org/officeDocument/2006/relationships/hyperlink" Target="https://www.sec.gov/Archives/edgar/data/1065280/000106528026000291/" TargetMode="External" Id="rId79"/><Relationship Type="http://schemas.openxmlformats.org/officeDocument/2006/relationships/hyperlink" Target="https://www.sec.gov/Archives/edgar/data/1065280/000106528026000034/" TargetMode="External" Id="rId80"/><Relationship Type="http://schemas.openxmlformats.org/officeDocument/2006/relationships/hyperlink" Target="https://www.sec.gov/Archives/edgar/data/1065280/000106528026000034/" TargetMode="External" Id="rId81"/><Relationship Type="http://schemas.openxmlformats.org/officeDocument/2006/relationships/hyperlink" Target="https://www.sec.gov/Archives/edgar/data/1065280/000106528026000034/" TargetMode="External" Id="rId82"/><Relationship Type="http://schemas.openxmlformats.org/officeDocument/2006/relationships/hyperlink" Target="https://www.sec.gov/Archives/edgar/data/1065280/000106528026000291/" TargetMode="External" Id="rId83"/><Relationship Type="http://schemas.openxmlformats.org/officeDocument/2006/relationships/hyperlink" Target="https://www.sec.gov/Archives/edgar/data/1065280/000106528026000291/" TargetMode="External" Id="rId84"/><Relationship Type="http://schemas.openxmlformats.org/officeDocument/2006/relationships/hyperlink" Target="https://www.sec.gov/Archives/edgar/data/1065280/000106528026000291/" TargetMode="External" Id="rId85"/><Relationship Type="http://schemas.openxmlformats.org/officeDocument/2006/relationships/hyperlink" Target="https://www.sec.gov/Archives/edgar/data/1065280/000106528026000034/" TargetMode="External" Id="rId86"/><Relationship Type="http://schemas.openxmlformats.org/officeDocument/2006/relationships/hyperlink" Target="https://www.sec.gov/Archives/edgar/data/1065280/000106528026000034/" TargetMode="External" Id="rId87"/><Relationship Type="http://schemas.openxmlformats.org/officeDocument/2006/relationships/hyperlink" Target="https://www.sec.gov/Archives/edgar/data/1065280/000106528026000034/" TargetMode="External" Id="rId88"/><Relationship Type="http://schemas.openxmlformats.org/officeDocument/2006/relationships/hyperlink" Target="https://www.sec.gov/Archives/edgar/data/1065280/000106528026000291/" TargetMode="External" Id="rId89"/><Relationship Type="http://schemas.openxmlformats.org/officeDocument/2006/relationships/hyperlink" Target="https://www.sec.gov/Archives/edgar/data/1065280/000106528026000291/" TargetMode="External" Id="rId90"/><Relationship Type="http://schemas.openxmlformats.org/officeDocument/2006/relationships/hyperlink" Target="https://www.sec.gov/Archives/edgar/data/1065280/000106528026000291/" TargetMode="External" Id="rId91"/><Relationship Type="http://schemas.openxmlformats.org/officeDocument/2006/relationships/hyperlink" Target="https://www.sec.gov/Archives/edgar/data/1065280/000106528026000034/" TargetMode="External" Id="rId92"/><Relationship Type="http://schemas.openxmlformats.org/officeDocument/2006/relationships/hyperlink" Target="https://www.sec.gov/Archives/edgar/data/1065280/000106528026000034/" TargetMode="External" Id="rId93"/><Relationship Type="http://schemas.openxmlformats.org/officeDocument/2006/relationships/hyperlink" Target="https://www.sec.gov/Archives/edgar/data/1065280/000106528026000034/" TargetMode="External" Id="rId94"/><Relationship Type="http://schemas.openxmlformats.org/officeDocument/2006/relationships/hyperlink" Target="https://www.sec.gov/Archives/edgar/data/1065280/000106528026000291/" TargetMode="External" Id="rId95"/><Relationship Type="http://schemas.openxmlformats.org/officeDocument/2006/relationships/hyperlink" Target="https://www.sec.gov/Archives/edgar/data/1065280/000106528026000291/" TargetMode="External" Id="rId96"/><Relationship Type="http://schemas.openxmlformats.org/officeDocument/2006/relationships/hyperlink" Target="https://www.sec.gov/Archives/edgar/data/1065280/000106528026000291/" TargetMode="External" Id="rId97"/><Relationship Type="http://schemas.openxmlformats.org/officeDocument/2006/relationships/hyperlink" Target="https://www.sec.gov/Archives/edgar/data/1065280/000106528026000034/" TargetMode="External" Id="rId98"/><Relationship Type="http://schemas.openxmlformats.org/officeDocument/2006/relationships/hyperlink" Target="https://www.sec.gov/Archives/edgar/data/1065280/000106528026000034/" TargetMode="External" Id="rId99"/><Relationship Type="http://schemas.openxmlformats.org/officeDocument/2006/relationships/hyperlink" Target="https://www.sec.gov/Archives/edgar/data/1065280/000106528026000034/" TargetMode="External" Id="rId100"/><Relationship Type="http://schemas.openxmlformats.org/officeDocument/2006/relationships/hyperlink" Target="https://www.sec.gov/Archives/edgar/data/1065280/000106528026000291/" TargetMode="External" Id="rId101"/><Relationship Type="http://schemas.openxmlformats.org/officeDocument/2006/relationships/hyperlink" Target="https://www.sec.gov/Archives/edgar/data/1065280/000106528026000291/" TargetMode="External" Id="rId102"/><Relationship Type="http://schemas.openxmlformats.org/officeDocument/2006/relationships/hyperlink" Target="https://www.sec.gov/Archives/edgar/data/1065280/000106528026000291/" TargetMode="External" Id="rId103"/><Relationship Type="http://schemas.openxmlformats.org/officeDocument/2006/relationships/hyperlink" Target="https://www.sec.gov/Archives/edgar/data/1065280/000106528026000034/" TargetMode="External" Id="rId104"/><Relationship Type="http://schemas.openxmlformats.org/officeDocument/2006/relationships/hyperlink" Target="https://www.sec.gov/Archives/edgar/data/1065280/000106528026000034/" TargetMode="External" Id="rId105"/><Relationship Type="http://schemas.openxmlformats.org/officeDocument/2006/relationships/hyperlink" Target="https://www.sec.gov/Archives/edgar/data/1065280/000106528026000034/" TargetMode="External" Id="rId106"/><Relationship Type="http://schemas.openxmlformats.org/officeDocument/2006/relationships/hyperlink" Target="https://www.sec.gov/Archives/edgar/data/1065280/000106528026000291/" TargetMode="External" Id="rId107"/><Relationship Type="http://schemas.openxmlformats.org/officeDocument/2006/relationships/hyperlink" Target="https://www.sec.gov/Archives/edgar/data/1065280/000106528026000291/" TargetMode="External" Id="rId108"/><Relationship Type="http://schemas.openxmlformats.org/officeDocument/2006/relationships/hyperlink" Target="https://www.sec.gov/Archives/edgar/data/1065280/000106528026000291/" TargetMode="External" Id="rId109"/><Relationship Type="http://schemas.openxmlformats.org/officeDocument/2006/relationships/hyperlink" Target="https://www.sec.gov/Archives/edgar/data/1065280/000106528026000291/" TargetMode="External" Id="rId110"/><Relationship Type="http://schemas.openxmlformats.org/officeDocument/2006/relationships/hyperlink" Target="https://www.sec.gov/Archives/edgar/data/1065280/000106528026000291/" TargetMode="External" Id="rId111"/><Relationship Type="http://schemas.openxmlformats.org/officeDocument/2006/relationships/hyperlink" Target="https://www.sec.gov/Archives/edgar/data/1065280/000106528026000291/" TargetMode="External" Id="rId112"/><Relationship Type="http://schemas.openxmlformats.org/officeDocument/2006/relationships/hyperlink" Target="https://www.sec.gov/Archives/edgar/data/1065280/000106528026000291/" TargetMode="External" Id="rId113"/><Relationship Type="http://schemas.openxmlformats.org/officeDocument/2006/relationships/hyperlink" Target="https://www.sec.gov/Archives/edgar/data/1065280/000106528026000291/" TargetMode="External" Id="rId114"/><Relationship Type="http://schemas.openxmlformats.org/officeDocument/2006/relationships/hyperlink" Target="https://www.sec.gov/Archives/edgar/data/1065280/000106528026000291/" TargetMode="Externa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NFLX standard model (trial) · research run 2026-10-23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IFERROR(GOOGLEFINANCE("NFLX","price"),Valuation!$B$66)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Valuation!$D$6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Valuation!$B$44</f>
        <v/>
      </c>
    </row>
    <row r="15">
      <c r="A15" t="inlineStr">
        <is>
          <t>Price at the run</t>
        </is>
      </c>
      <c r="B15" s="4">
        <f>Valuation!$B$66</f>
        <v/>
      </c>
    </row>
    <row r="16">
      <c r="A16" t="inlineStr">
        <is>
          <t>Blended page target (options 67% + agents 33%, not live)</t>
        </is>
      </c>
      <c r="B16" s="9" t="n">
        <v>72.4507</v>
      </c>
    </row>
    <row r="17">
      <c r="A17" t="inlineStr">
        <is>
          <t>Supervisor research target (12m) (its own methods)</t>
        </is>
      </c>
      <c r="B17" s="9" t="n">
        <v>76.22</v>
      </c>
    </row>
    <row r="18">
      <c r="A18" t="inlineStr">
        <is>
          <t>Thesis break price (supervisor)</t>
        </is>
      </c>
      <c r="B18" s="9" t="n">
        <v>48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FY2025A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IF(Model!D11="","",Model!D11)</f>
        <v/>
      </c>
      <c r="C22" s="10">
        <f>Model!E11</f>
        <v/>
      </c>
      <c r="D22" s="10">
        <f>Model!F11</f>
        <v/>
      </c>
    </row>
    <row r="23">
      <c r="A23" s="11" t="inlineStr">
        <is>
          <t xml:space="preserve">  % YoY</t>
        </is>
      </c>
      <c r="B23" s="12">
        <f>IF(Model!D12="","",Model!D12)</f>
        <v/>
      </c>
      <c r="C23" s="12">
        <f>Model!E12</f>
        <v/>
      </c>
      <c r="D23" s="12">
        <f>Model!F12</f>
        <v/>
      </c>
    </row>
    <row r="24">
      <c r="A24" t="inlineStr">
        <is>
          <t>Pretax margin</t>
        </is>
      </c>
      <c r="B24" s="12">
        <f>IF(Model!D22="","",Model!D22)</f>
        <v/>
      </c>
      <c r="C24" s="12">
        <f>Model!E22</f>
        <v/>
      </c>
      <c r="D24" s="12">
        <f>Model!F22</f>
        <v/>
      </c>
    </row>
    <row r="25">
      <c r="A25" t="inlineStr">
        <is>
          <t>Diluted EPS (model)</t>
        </is>
      </c>
      <c r="B25" s="13">
        <f>IF(Model!D29="","",Model!D29)</f>
        <v/>
      </c>
      <c r="C25" s="13">
        <f>Model!E29</f>
        <v/>
      </c>
      <c r="D25" s="13">
        <f>Model!F29</f>
        <v/>
      </c>
    </row>
    <row r="26">
      <c r="A26" s="11" t="inlineStr">
        <is>
          <t xml:space="preserve">  % YoY</t>
        </is>
      </c>
      <c r="B26" s="12">
        <f>IF(Model!D30="","",Model!D30)</f>
        <v/>
      </c>
      <c r="C26" s="12">
        <f>Model!E30</f>
        <v/>
      </c>
      <c r="D26" s="12">
        <f>Model!F30</f>
        <v/>
      </c>
    </row>
    <row r="27">
      <c r="A27" t="inlineStr">
        <is>
          <t>Free cash flow to firm</t>
        </is>
      </c>
      <c r="B27" s="10">
        <f>IF(Model!D39="","",Model!D39)</f>
        <v/>
      </c>
      <c r="C27" s="10">
        <f>Model!E39</f>
        <v/>
      </c>
      <c r="D27" s="10">
        <f>Model!F39</f>
        <v/>
      </c>
    </row>
    <row r="28">
      <c r="A28" s="14" t="inlineStr">
        <is>
          <t>Consensus: EPS (Zacks consensus (pre-print))</t>
        </is>
      </c>
      <c r="D28" s="15" t="n">
        <v>3.8</v>
      </c>
    </row>
    <row r="30">
      <c r="A30" s="3" t="inlineStr">
        <is>
          <t>Valuation method</t>
        </is>
      </c>
      <c r="B30" s="3" t="inlineStr">
        <is>
          <t>Value per share</t>
        </is>
      </c>
      <c r="C30" s="3" t="inlineStr">
        <is>
          <t>Weight</t>
        </is>
      </c>
    </row>
    <row r="31">
      <c r="A31" s="16">
        <f>Valuation!A4</f>
        <v/>
      </c>
      <c r="B31" s="4">
        <f>Valuation!D4</f>
        <v/>
      </c>
      <c r="C31" s="12">
        <f>Valuation!E4</f>
        <v/>
      </c>
    </row>
    <row r="32">
      <c r="A32" s="16">
        <f>Valuation!A5</f>
        <v/>
      </c>
      <c r="B32" s="4">
        <f>Valuation!D5</f>
        <v/>
      </c>
      <c r="C32" s="12">
        <f>Valuation!E5</f>
        <v/>
      </c>
    </row>
    <row r="34">
      <c r="A34" s="3" t="inlineStr">
        <is>
          <t>Scenario</t>
        </is>
      </c>
      <c r="B34" s="3" t="inlineStr">
        <is>
          <t>Probability</t>
        </is>
      </c>
      <c r="C34" s="3" t="inlineStr">
        <is>
          <t>Value at target date</t>
        </is>
      </c>
      <c r="D34" s="3" t="inlineStr">
        <is>
          <t>What has to happen</t>
        </is>
      </c>
    </row>
    <row r="35">
      <c r="A35" s="16">
        <f>Distribution!A4</f>
        <v/>
      </c>
      <c r="B35" s="12">
        <f>Distribution!B4</f>
        <v/>
      </c>
      <c r="C35" s="4">
        <f>Distribution!C4</f>
        <v/>
      </c>
      <c r="D35" s="17">
        <f>Distribution!D4</f>
        <v/>
      </c>
    </row>
    <row r="36">
      <c r="A36" s="16">
        <f>Distribution!A5</f>
        <v/>
      </c>
      <c r="B36" s="12">
        <f>Distribution!B5</f>
        <v/>
      </c>
      <c r="C36" s="4">
        <f>Distribution!C5</f>
        <v/>
      </c>
      <c r="D36" s="17">
        <f>Distribution!D5</f>
        <v/>
      </c>
    </row>
    <row r="37">
      <c r="A37" s="16">
        <f>Distribution!A6</f>
        <v/>
      </c>
      <c r="B37" s="12">
        <f>Distribution!B6</f>
        <v/>
      </c>
      <c r="C37" s="4">
        <f>Distribution!C6</f>
        <v/>
      </c>
      <c r="D37" s="17">
        <f>Distribution!D6</f>
        <v/>
      </c>
    </row>
    <row r="39">
      <c r="A39" s="3" t="inlineStr">
        <is>
          <t>Price at target date</t>
        </is>
      </c>
      <c r="B39" s="3" t="inlineStr">
        <is>
          <t>Probability above</t>
        </is>
      </c>
    </row>
    <row r="40">
      <c r="A40" s="9">
        <f>ROUND(Valuation!$B$66*0.7,0)</f>
        <v/>
      </c>
      <c r="B40" s="18">
        <f>SUMPRODUCT(Distribution!$B$4:$B$6,1-NORMSDIST((LN(A40)-LN(Distribution!$C$4:$C$6))/Distribution!$B$9))</f>
        <v/>
      </c>
    </row>
    <row r="41">
      <c r="A41" s="9">
        <f>ROUND(Valuation!$B$66*0.8,0)</f>
        <v/>
      </c>
      <c r="B41" s="18">
        <f>SUMPRODUCT(Distribution!$B$4:$B$6,1-NORMSDIST((LN(A41)-LN(Distribution!$C$4:$C$6))/Distribution!$B$9))</f>
        <v/>
      </c>
    </row>
    <row r="42">
      <c r="A42" s="9">
        <f>ROUND(Valuation!$B$66*0.9,0)</f>
        <v/>
      </c>
      <c r="B42" s="18">
        <f>SUMPRODUCT(Distribution!$B$4:$B$6,1-NORMSDIST((LN(A42)-LN(Distribution!$C$4:$C$6))/Distribution!$B$9))</f>
        <v/>
      </c>
    </row>
    <row r="43">
      <c r="A43" s="9">
        <f>ROUND(Valuation!$B$66*1.0,0)</f>
        <v/>
      </c>
      <c r="B43" s="18">
        <f>SUMPRODUCT(Distribution!$B$4:$B$6,1-NORMSDIST((LN(A43)-LN(Distribution!$C$4:$C$6))/Distribution!$B$9))</f>
        <v/>
      </c>
    </row>
    <row r="44">
      <c r="A44" s="9">
        <f>ROUND(Valuation!$B$66*1.1,0)</f>
        <v/>
      </c>
      <c r="B44" s="18">
        <f>SUMPRODUCT(Distribution!$B$4:$B$6,1-NORMSDIST((LN(A44)-LN(Distribution!$C$4:$C$6))/Distribution!$B$9))</f>
        <v/>
      </c>
    </row>
    <row r="45">
      <c r="A45" s="9">
        <f>ROUND(Valuation!$B$66*1.2,0)</f>
        <v/>
      </c>
      <c r="B45" s="18">
        <f>SUMPRODUCT(Distribution!$B$4:$B$6,1-NORMSDIST((LN(A45)-LN(Distribution!$C$4:$C$6))/Distribution!$B$9))</f>
        <v/>
      </c>
    </row>
    <row r="46">
      <c r="A46" s="9">
        <f>ROUND(Valuation!$B$66*1.3,0)</f>
        <v/>
      </c>
      <c r="B46" s="18">
        <f>SUMPRODUCT(Distribution!$B$4:$B$6,1-NORMSDIST((LN(A46)-LN(Distribution!$C$4:$C$6))/Distribution!$B$9))</f>
        <v/>
      </c>
    </row>
    <row r="47">
      <c r="A47" s="9">
        <f>ROUND(Valuation!$B$66*1.5,0)</f>
        <v/>
      </c>
      <c r="B47" s="18">
        <f>SUMPRODUCT(Distribution!$B$4:$B$6,1-NORMSDIST((LN(A47)-LN(Distribution!$C$4:$C$6))/Distribution!$B$9))</f>
        <v/>
      </c>
    </row>
    <row r="49">
      <c r="A49" s="3" t="inlineStr">
        <is>
          <t>Model checks</t>
        </is>
      </c>
      <c r="B49" s="3" t="inlineStr">
        <is>
          <t>Status</t>
        </is>
      </c>
    </row>
    <row r="50">
      <c r="A50" t="inlineStr">
        <is>
          <t>Scenario probabilities sum to 100%</t>
        </is>
      </c>
      <c r="B50">
        <f>IF(ABS(Distribution!B8-1)&lt;0.005,"ok","FLAG: "&amp;TEXT(Distribution!B8,"0.0%"))</f>
        <v/>
      </c>
    </row>
    <row r="51">
      <c r="A51" t="inlineStr">
        <is>
          <t>WACC exceeds terminal growth by 1 point or more</t>
        </is>
      </c>
      <c r="B51">
        <f>IF('Calc - research target (12m)'!B55="ok","ok","FLAG")</f>
        <v/>
      </c>
    </row>
    <row r="52">
      <c r="A52" t="inlineStr">
        <is>
          <t>Projection runs a full year past the target date</t>
        </is>
      </c>
      <c r="B52">
        <f>IF('Calc - research target (12m)'!B56="ok","ok","FLAG")</f>
        <v/>
      </c>
    </row>
    <row r="53">
      <c r="A53" t="inlineStr">
        <is>
          <t>Method weights add up to more than zero</t>
        </is>
      </c>
      <c r="B53">
        <f>IF(SUM(Valuation!E4:E5)&gt;0,"ok","FLAG")</f>
        <v/>
      </c>
    </row>
    <row r="54">
      <c r="A54" t="inlineStr">
        <is>
          <t>Terminal value under 85% of the DCF</t>
        </is>
      </c>
      <c r="B54">
        <f>IF('Calc - research target (12m)'!B46&lt;0.85,"ok","note: "&amp;TEXT('Calc - research target (12m)'!B46,"0%")&amp;" of the DCF is terminal value")</f>
        <v/>
      </c>
    </row>
    <row r="55">
      <c r="A55" t="inlineStr">
        <is>
          <t>Matches the engine run at publication (target, research target (12m))</t>
        </is>
      </c>
      <c r="B55">
        <f>IF(AND(ABS(Distribution!$B$13-75.4724)&lt;0.01,ABS(Valuation!$D$6-76.2197)&lt;0.01),"ok","inputs edited since publication")</f>
        <v/>
      </c>
    </row>
    <row r="56">
      <c r="A56" s="19" t="inlineStr">
        <is>
          <t>All checks</t>
        </is>
      </c>
      <c r="B56" s="19">
        <f>IF(COUNTIF(B50:B55,"ok")=6,"all ok",6-COUNTIF(B50:B55,"ok")&amp;"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NFLX: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FY2023A</t>
        </is>
      </c>
      <c r="C5" s="3" t="inlineStr">
        <is>
          <t>FY2024A</t>
        </is>
      </c>
      <c r="D5" s="3" t="inlineStr">
        <is>
          <t>FY2025A</t>
        </is>
      </c>
      <c r="E5" s="3" t="inlineStr">
        <is>
          <t>FY2026E</t>
        </is>
      </c>
      <c r="F5" s="3" t="inlineStr">
        <is>
          <t>FY2027E</t>
        </is>
      </c>
      <c r="G5" s="3" t="inlineStr">
        <is>
          <t>FY2028E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20" t="n">
        <v>45291</v>
      </c>
      <c r="C6" s="20" t="n">
        <v>45657</v>
      </c>
      <c r="D6" s="20" t="n">
        <v>46022</v>
      </c>
      <c r="E6" s="20">
        <f>IF(DAY(Valuation!$B$48+1)=1,EOMONTH(Valuation!$B$48,12*E7),EDATE(Valuation!$B$48,12*E7))</f>
        <v/>
      </c>
      <c r="F6" s="20">
        <f>IF(DAY(Valuation!$B$48+1)=1,EOMONTH(Valuation!$B$48,12*F7),EDATE(Valuation!$B$48,12*F7))</f>
        <v/>
      </c>
      <c r="G6" s="20">
        <f>IF(DAY(Valuation!$B$48+1)=1,EOMONTH(Valuation!$B$48,12*G7),EDATE(Valuation!$B$48,12*G7))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21" t="inlineStr">
        <is>
          <t>Sales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>
      <c r="A11" s="19" t="inlineStr">
        <is>
          <t>Net sales</t>
        </is>
      </c>
      <c r="B11" s="23" t="n">
        <v>33723.297</v>
      </c>
      <c r="C11" s="23" t="n">
        <v>39000.966</v>
      </c>
      <c r="D11" s="23" t="n">
        <v>45183.036</v>
      </c>
      <c r="E11" s="24">
        <f>Valuation!$B$49*(1+E48)</f>
        <v/>
      </c>
      <c r="F11" s="24">
        <f>E11*(1+F48)</f>
        <v/>
      </c>
      <c r="G11" s="24">
        <f>F11*(1+G48)</f>
        <v/>
      </c>
      <c r="H11" s="2" t="inlineStr">
        <is>
          <t>SEC XBRL F1, F2, F3</t>
        </is>
      </c>
    </row>
    <row r="12">
      <c r="A12" s="11" t="inlineStr">
        <is>
          <t xml:space="preserve">  % YoY</t>
        </is>
      </c>
      <c r="C12" s="25">
        <f>IF(OR(C11="",B11="",B11=0),"",C11/B11-1)</f>
        <v/>
      </c>
      <c r="D12" s="25">
        <f>IF(OR(D11="",C11="",C11=0),"",D11/C11-1)</f>
        <v/>
      </c>
      <c r="E12" s="25">
        <f>E11/Valuation!$B$49-1</f>
        <v/>
      </c>
      <c r="F12" s="25">
        <f>F11/E11-1</f>
        <v/>
      </c>
      <c r="G12" s="25">
        <f>G11/F11-1</f>
        <v/>
      </c>
    </row>
    <row r="14">
      <c r="A14" s="21" t="inlineStr">
        <is>
          <t>Operating profit</t>
        </is>
      </c>
      <c r="B14" s="22" t="n"/>
      <c r="C14" s="22" t="n"/>
      <c r="D14" s="22" t="n"/>
      <c r="E14" s="22" t="n"/>
      <c r="F14" s="22" t="n"/>
      <c r="G14" s="22" t="n"/>
      <c r="H14" s="22" t="n"/>
    </row>
    <row r="15">
      <c r="A15" t="inlineStr">
        <is>
          <t>EBIT (operating income)</t>
        </is>
      </c>
      <c r="E15" s="23">
        <f>E11*E49</f>
        <v/>
      </c>
      <c r="F15" s="23">
        <f>F11*F49</f>
        <v/>
      </c>
      <c r="G15" s="23">
        <f>G11*G49</f>
        <v/>
      </c>
    </row>
    <row r="16">
      <c r="A16" s="11" t="inlineStr">
        <is>
          <t xml:space="preserve">  EBIT margin</t>
        </is>
      </c>
      <c r="E16" s="25">
        <f>E15/E11</f>
        <v/>
      </c>
      <c r="F16" s="25">
        <f>F15/F11</f>
        <v/>
      </c>
      <c r="G16" s="25">
        <f>G15/G11</f>
        <v/>
      </c>
    </row>
    <row r="17">
      <c r="A17" t="inlineStr">
        <is>
          <t>D&amp;A</t>
        </is>
      </c>
      <c r="B17" s="23" t="n">
        <v>356.947</v>
      </c>
      <c r="C17" s="23" t="n">
        <v>328.914</v>
      </c>
      <c r="D17" s="23" t="n">
        <v>333.389</v>
      </c>
      <c r="E17" s="23">
        <f>E11*E51</f>
        <v/>
      </c>
      <c r="F17" s="23">
        <f>F11*F51</f>
        <v/>
      </c>
      <c r="G17" s="23">
        <f>G11*G51</f>
        <v/>
      </c>
      <c r="H17" s="2" t="inlineStr">
        <is>
          <t>SEC XBRL F34, F35, F36</t>
        </is>
      </c>
    </row>
    <row r="18">
      <c r="A18" t="inlineStr">
        <is>
          <t>EBITDA</t>
        </is>
      </c>
      <c r="E18" s="23">
        <f>E15+E17</f>
        <v/>
      </c>
      <c r="F18" s="23">
        <f>F15+F17</f>
        <v/>
      </c>
      <c r="G18" s="23">
        <f>G15+G17</f>
        <v/>
      </c>
    </row>
    <row r="19">
      <c r="A19" s="11" t="inlineStr">
        <is>
          <t xml:space="preserve">  EBITDA margin</t>
        </is>
      </c>
      <c r="E19" s="25">
        <f>E18/E11</f>
        <v/>
      </c>
      <c r="F19" s="25">
        <f>F18/F11</f>
        <v/>
      </c>
      <c r="G19" s="25">
        <f>G18/G11</f>
        <v/>
      </c>
    </row>
    <row r="20">
      <c r="A20" t="inlineStr">
        <is>
          <t>Net interest income / (expense)</t>
        </is>
      </c>
      <c r="E20" s="23">
        <f>-Valuation!$B$57*Valuation!$B$55</f>
        <v/>
      </c>
      <c r="F20" s="23">
        <f>-Valuation!$B$57*E45</f>
        <v/>
      </c>
      <c r="G20" s="23">
        <f>-Valuation!$B$57*F45</f>
        <v/>
      </c>
      <c r="H20" s="2" t="inlineStr">
        <is>
          <t>rate x prior year-end net debt (memo roll)</t>
        </is>
      </c>
    </row>
    <row r="21">
      <c r="A21" s="19" t="inlineStr">
        <is>
          <t>Pretax income</t>
        </is>
      </c>
      <c r="B21" s="23" t="n">
        <v>6205.405</v>
      </c>
      <c r="C21" s="23" t="n">
        <v>9965.656999999999</v>
      </c>
      <c r="D21" s="23" t="n">
        <v>12722.552</v>
      </c>
      <c r="E21" s="24">
        <f>E15+E20</f>
        <v/>
      </c>
      <c r="F21" s="24">
        <f>F15+F20</f>
        <v/>
      </c>
      <c r="G21" s="24">
        <f>G15+G20</f>
        <v/>
      </c>
      <c r="H21" s="2" t="inlineStr">
        <is>
          <t>SEC XBRL F83, F84, F85</t>
        </is>
      </c>
    </row>
    <row r="22">
      <c r="A22" s="11" t="inlineStr">
        <is>
          <t xml:space="preserve">  Pretax margin</t>
        </is>
      </c>
      <c r="B22" s="25">
        <f>B21/B11</f>
        <v/>
      </c>
      <c r="C22" s="25">
        <f>C21/C11</f>
        <v/>
      </c>
      <c r="D22" s="25">
        <f>D21/D11</f>
        <v/>
      </c>
      <c r="E22" s="25">
        <f>E21/E11</f>
        <v/>
      </c>
      <c r="F22" s="25">
        <f>F21/F11</f>
        <v/>
      </c>
      <c r="G22" s="25">
        <f>G21/G11</f>
        <v/>
      </c>
    </row>
    <row r="23">
      <c r="A23" t="inlineStr">
        <is>
          <t>Income tax</t>
        </is>
      </c>
      <c r="B23" s="23" t="n">
        <v>797.415</v>
      </c>
      <c r="C23" s="23" t="n">
        <v>1254.026</v>
      </c>
      <c r="D23" s="23" t="n">
        <v>1741.351</v>
      </c>
      <c r="E23" s="23">
        <f>E21*E50</f>
        <v/>
      </c>
      <c r="F23" s="23">
        <f>F21*F50</f>
        <v/>
      </c>
      <c r="G23" s="23">
        <f>G21*G50</f>
        <v/>
      </c>
      <c r="H23" s="2" t="inlineStr">
        <is>
          <t>SEC XBRL F76, F77, F78</t>
        </is>
      </c>
    </row>
    <row r="24">
      <c r="A24" s="11" t="inlineStr">
        <is>
          <t xml:space="preserve">  Effective tax rate</t>
        </is>
      </c>
      <c r="B24" s="25">
        <f>B23/B21</f>
        <v/>
      </c>
      <c r="C24" s="25">
        <f>C23/C21</f>
        <v/>
      </c>
      <c r="D24" s="25">
        <f>D23/D21</f>
        <v/>
      </c>
      <c r="E24" s="25">
        <f>E23/E21</f>
        <v/>
      </c>
      <c r="F24" s="25">
        <f>F23/F21</f>
        <v/>
      </c>
      <c r="G24" s="25">
        <f>G23/G21</f>
        <v/>
      </c>
    </row>
    <row r="25">
      <c r="A25" s="19" t="inlineStr">
        <is>
          <t>Net income</t>
        </is>
      </c>
      <c r="B25" s="23" t="n">
        <v>5407.99</v>
      </c>
      <c r="C25" s="23" t="n">
        <v>8711.630999999999</v>
      </c>
      <c r="D25" s="23" t="n">
        <v>10981.201</v>
      </c>
      <c r="E25" s="24">
        <f>E21-E23</f>
        <v/>
      </c>
      <c r="F25" s="24">
        <f>F21-F23</f>
        <v/>
      </c>
      <c r="G25" s="24">
        <f>G21-G23</f>
        <v/>
      </c>
      <c r="H25" s="2" t="inlineStr">
        <is>
          <t>SEC XBRL F15, F16, F17</t>
        </is>
      </c>
    </row>
    <row r="26">
      <c r="A26" s="11" t="inlineStr">
        <is>
          <t xml:space="preserve">  % YoY</t>
        </is>
      </c>
      <c r="C26" s="25">
        <f>IF(OR(C25="",B25="",B25=0),"",C25/B25-1)</f>
        <v/>
      </c>
      <c r="D26" s="25">
        <f>IF(OR(D25="",C25="",C25=0),"",D25/C25-1)</f>
        <v/>
      </c>
      <c r="E26" s="25">
        <f>IF(OR(D25="",D25=0),"",E25/D25-1)</f>
        <v/>
      </c>
      <c r="F26" s="25">
        <f>IF(OR(E25="",E25=0),"",F25/E25-1)</f>
        <v/>
      </c>
      <c r="G26" s="25">
        <f>IF(OR(F25="",F25=0),"",G25/F25-1)</f>
        <v/>
      </c>
    </row>
    <row r="27">
      <c r="A27" t="inlineStr">
        <is>
          <t>Diluted shares (M, average)</t>
        </is>
      </c>
      <c r="B27" s="23" t="n">
        <v>4494.966</v>
      </c>
      <c r="C27" s="23" t="n">
        <v>4392.608</v>
      </c>
      <c r="D27" s="23" t="n">
        <v>4343.863</v>
      </c>
      <c r="E27" s="26">
        <f>Valuation!$B$59*(1+Valuation!$B$61)^(E7-0.5-((Valuation!$B$60-Valuation!$B$48)/365.25))</f>
        <v/>
      </c>
      <c r="F27" s="26">
        <f>Valuation!$B$59*(1+Valuation!$B$61)^(F7-0.5-((Valuation!$B$60-Valuation!$B$48)/365.25))</f>
        <v/>
      </c>
      <c r="G27" s="26">
        <f>Valuation!$B$59*(1+Valuation!$B$61)^(G7-0.5-((Valuation!$B$60-Valuation!$B$48)/365.25))</f>
        <v/>
      </c>
      <c r="H27" s="2" t="inlineStr">
        <is>
          <t>diluted count rolled at the annual change to mid-year</t>
        </is>
      </c>
    </row>
    <row r="28">
      <c r="A28" s="11" t="inlineStr">
        <is>
          <t xml:space="preserve">  % YoY</t>
        </is>
      </c>
      <c r="C28" s="25">
        <f>IF(OR(C27="",B27="",B27=0),"",C27/B27-1)</f>
        <v/>
      </c>
      <c r="D28" s="25">
        <f>IF(OR(D27="",C27="",C27=0),"",D27/C27-1)</f>
        <v/>
      </c>
      <c r="E28" s="25">
        <f>IF(OR(D27="",D27=0),"",E27/D27-1)</f>
        <v/>
      </c>
      <c r="F28" s="25">
        <f>IF(OR(E27="",E27=0),"",F27/E27-1)</f>
        <v/>
      </c>
      <c r="G28" s="25">
        <f>IF(OR(F27="",F27=0),"",G27/F27-1)</f>
        <v/>
      </c>
    </row>
    <row r="29">
      <c r="A29" s="19" t="inlineStr">
        <is>
          <t>Diluted EPS</t>
        </is>
      </c>
      <c r="B29" s="27" t="n">
        <v>1.2</v>
      </c>
      <c r="C29" s="27" t="n">
        <v>1.98</v>
      </c>
      <c r="D29" s="27" t="n">
        <v>2.53</v>
      </c>
      <c r="E29" s="28">
        <f>E25/E27</f>
        <v/>
      </c>
      <c r="F29" s="28">
        <f>F25/F27</f>
        <v/>
      </c>
      <c r="G29" s="28">
        <f>G25/G27</f>
        <v/>
      </c>
      <c r="H29" s="2" t="inlineStr">
        <is>
          <t>SEC XBRL F22, F23, F24</t>
        </is>
      </c>
    </row>
    <row r="30">
      <c r="A30" s="11" t="inlineStr">
        <is>
          <t xml:space="preserve">  % YoY</t>
        </is>
      </c>
      <c r="C30" s="25">
        <f>IF(OR(C29="",B29="",B29=0),"",C29/B29-1)</f>
        <v/>
      </c>
      <c r="D30" s="25">
        <f>IF(OR(D29="",C29="",C29=0),"",D29/C29-1)</f>
        <v/>
      </c>
      <c r="E30" s="25">
        <f>IF(OR(D29="",D29=0),"",E29/D29-1)</f>
        <v/>
      </c>
      <c r="F30" s="25">
        <f>IF(OR(E29="",E29=0),"",F29/E29-1)</f>
        <v/>
      </c>
      <c r="G30" s="25">
        <f>IF(OR(F29="",F29=0),"",G29/F29-1)</f>
        <v/>
      </c>
    </row>
    <row r="32">
      <c r="A32" s="21" t="inlineStr">
        <is>
          <t>Cash flow</t>
        </is>
      </c>
      <c r="B32" s="22" t="n"/>
      <c r="C32" s="22" t="n"/>
      <c r="D32" s="22" t="n"/>
      <c r="E32" s="22" t="n"/>
      <c r="F32" s="22" t="n"/>
      <c r="G32" s="22" t="n"/>
      <c r="H32" s="22" t="n"/>
    </row>
    <row r="33">
      <c r="A33" t="inlineStr">
        <is>
          <t>NOPAT (EBIT x (1 - tax))</t>
        </is>
      </c>
      <c r="E33" s="23">
        <f>E15*(1-E50)</f>
        <v/>
      </c>
      <c r="F33" s="23">
        <f>F15*(1-F50)</f>
        <v/>
      </c>
      <c r="G33" s="23">
        <f>G15*(1-G50)</f>
        <v/>
      </c>
    </row>
    <row r="34">
      <c r="A34" t="inlineStr">
        <is>
          <t>+ D&amp;A</t>
        </is>
      </c>
      <c r="B34" s="23">
        <f>B17</f>
        <v/>
      </c>
      <c r="C34" s="23">
        <f>C17</f>
        <v/>
      </c>
      <c r="D34" s="23">
        <f>D17</f>
        <v/>
      </c>
      <c r="E34" s="23">
        <f>E17</f>
        <v/>
      </c>
      <c r="F34" s="23">
        <f>F17</f>
        <v/>
      </c>
      <c r="G34" s="23">
        <f>G17</f>
        <v/>
      </c>
    </row>
    <row r="35">
      <c r="A35" t="inlineStr">
        <is>
          <t>- Capex</t>
        </is>
      </c>
      <c r="B35" s="23" t="n">
        <v>348.552</v>
      </c>
      <c r="C35" s="23" t="n">
        <v>439.538</v>
      </c>
      <c r="D35" s="23" t="n">
        <v>688.22</v>
      </c>
      <c r="E35" s="23">
        <f>E11*E52</f>
        <v/>
      </c>
      <c r="F35" s="23">
        <f>F11*F52</f>
        <v/>
      </c>
      <c r="G35" s="23">
        <f>G11*G52</f>
        <v/>
      </c>
      <c r="H35" s="2" t="inlineStr">
        <is>
          <t>SEC XBRL F55, F56, F57</t>
        </is>
      </c>
    </row>
    <row r="36">
      <c r="A36" s="11" t="inlineStr">
        <is>
          <t xml:space="preserve">  Capex % of sales</t>
        </is>
      </c>
      <c r="B36" s="25">
        <f>B35/B11</f>
        <v/>
      </c>
      <c r="C36" s="25">
        <f>C35/C11</f>
        <v/>
      </c>
      <c r="D36" s="25">
        <f>D35/D11</f>
        <v/>
      </c>
      <c r="E36" s="25">
        <f>E35/E11</f>
        <v/>
      </c>
      <c r="F36" s="25">
        <f>F35/F11</f>
        <v/>
      </c>
      <c r="G36" s="25">
        <f>G35/G11</f>
        <v/>
      </c>
    </row>
    <row r="37">
      <c r="A37" t="inlineStr">
        <is>
          <t>- Working capital increase</t>
        </is>
      </c>
      <c r="E37" s="23">
        <f>E53*(E11-Valuation!$B$49)</f>
        <v/>
      </c>
      <c r="F37" s="23">
        <f>F53*(F11-E11)</f>
        <v/>
      </c>
      <c r="G37" s="23">
        <f>G53*(G11-F11)</f>
        <v/>
      </c>
    </row>
    <row r="38">
      <c r="A38" t="inlineStr">
        <is>
          <t>- Stock comp (adjusted EBIT only)</t>
        </is>
      </c>
      <c r="E38" s="23">
        <f>IF(AND(Valuation!$B$46="adjusted",Valuation!$B$47="cost"),E42*(1-E50),0)</f>
        <v/>
      </c>
      <c r="F38" s="23">
        <f>IF(AND(Valuation!$B$46="adjusted",Valuation!$B$47="cost"),F42*(1-F50),0)</f>
        <v/>
      </c>
      <c r="G38" s="23">
        <f>IF(AND(Valuation!$B$46="adjusted",Valuation!$B$47="cost"),G42*(1-G50),0)</f>
        <v/>
      </c>
    </row>
    <row r="39">
      <c r="A39" s="19" t="inlineStr">
        <is>
          <t>Free cash flow to firm</t>
        </is>
      </c>
      <c r="E39" s="24">
        <f>E33+E34-E35-E37-E38</f>
        <v/>
      </c>
      <c r="F39" s="24">
        <f>F33+F34-F35-F37-F38</f>
        <v/>
      </c>
      <c r="G39" s="24">
        <f>G33+G34-G35-G37-G38</f>
        <v/>
      </c>
      <c r="H39" s="2" t="inlineStr">
        <is>
          <t>what the DCF discounts (Calc tabs)</t>
        </is>
      </c>
    </row>
    <row r="40">
      <c r="A40" t="inlineStr">
        <is>
          <t>Operating cash flow (reported)</t>
        </is>
      </c>
      <c r="B40" s="23" t="n">
        <v>7274.301</v>
      </c>
      <c r="C40" s="23" t="n">
        <v>7361.364</v>
      </c>
      <c r="D40" s="23" t="n">
        <v>10149.273</v>
      </c>
      <c r="H40" s="2" t="inlineStr">
        <is>
          <t>SEC XBRL F48, F49, F50</t>
        </is>
      </c>
    </row>
    <row r="41">
      <c r="A41" t="inlineStr">
        <is>
          <t>FCF (operating cash flow - capex)</t>
        </is>
      </c>
      <c r="B41" s="23">
        <f>B40-B35</f>
        <v/>
      </c>
      <c r="C41" s="23">
        <f>C40-C35</f>
        <v/>
      </c>
      <c r="D41" s="23">
        <f>D40-D35</f>
        <v/>
      </c>
    </row>
    <row r="42">
      <c r="A42" t="inlineStr">
        <is>
          <t>Stock comp (memo)</t>
        </is>
      </c>
      <c r="B42" s="23" t="n">
        <v>339.368</v>
      </c>
      <c r="C42" s="23" t="n">
        <v>272.588</v>
      </c>
      <c r="D42" s="23" t="n">
        <v>368.449</v>
      </c>
      <c r="E42" s="23">
        <f>E11*E54</f>
        <v/>
      </c>
      <c r="F42" s="23">
        <f>F11*F54</f>
        <v/>
      </c>
      <c r="G42" s="23">
        <f>G11*G54</f>
        <v/>
      </c>
      <c r="H42" s="2" t="inlineStr">
        <is>
          <t>SEC XBRL F41, F42, F43</t>
        </is>
      </c>
    </row>
    <row r="43">
      <c r="A43" t="inlineStr">
        <is>
          <t>Buybacks + dividends + other uses</t>
        </is>
      </c>
      <c r="E43" s="23">
        <f>E11*E56+E55+E57</f>
        <v/>
      </c>
      <c r="F43" s="23">
        <f>F11*F56+F55+F57</f>
        <v/>
      </c>
      <c r="G43" s="23">
        <f>G11*G56+G55+G57</f>
        <v/>
      </c>
    </row>
    <row r="44">
      <c r="A44" s="11" t="inlineStr">
        <is>
          <t xml:space="preserve">  % of sales</t>
        </is>
      </c>
      <c r="B44" s="25">
        <f>B43/B11</f>
        <v/>
      </c>
      <c r="C44" s="25">
        <f>C43/C11</f>
        <v/>
      </c>
      <c r="D44" s="25">
        <f>D43/D11</f>
        <v/>
      </c>
      <c r="E44" s="25">
        <f>E43/E11</f>
        <v/>
      </c>
      <c r="F44" s="25">
        <f>F43/F11</f>
        <v/>
      </c>
      <c r="G44" s="25">
        <f>G43/G11</f>
        <v/>
      </c>
    </row>
    <row r="45">
      <c r="A45" t="inlineStr">
        <is>
          <t>Net debt / (net cash), year end (memo)</t>
        </is>
      </c>
      <c r="E45" s="23">
        <f>Valuation!$B$55-E39-E20*(1-E50)+E43</f>
        <v/>
      </c>
      <c r="F45" s="23">
        <f>E45-F39-F20*(1-F50)+F43</f>
        <v/>
      </c>
      <c r="G45" s="23">
        <f>F45-G39-G20*(1-G50)+G43</f>
        <v/>
      </c>
      <c r="H45" s="2" t="inlineStr">
        <is>
          <t>rolled from the balance-date figure; feeds interest only</t>
        </is>
      </c>
    </row>
    <row r="47">
      <c r="A47" s="21" t="inlineStr">
        <is>
          <t>Drivers (blue = input; a year left black carries the prior year)</t>
        </is>
      </c>
      <c r="B47" s="22" t="n"/>
      <c r="C47" s="22" t="n"/>
      <c r="D47" s="22" t="n"/>
      <c r="E47" s="22" t="n"/>
      <c r="F47" s="22" t="n"/>
      <c r="G47" s="22" t="n"/>
      <c r="H47" s="22" t="n"/>
    </row>
    <row r="48">
      <c r="A48" t="inlineStr">
        <is>
          <t>Revenue growth</t>
        </is>
      </c>
      <c r="C48" s="18">
        <f>C12</f>
        <v/>
      </c>
      <c r="D48" s="18">
        <f>D12</f>
        <v/>
      </c>
      <c r="E48" s="29" t="n">
        <v>0.1309563331341435</v>
      </c>
      <c r="F48" s="29" t="n">
        <v>0.1020939334637965</v>
      </c>
      <c r="G48" s="29" t="n">
        <v>0.08556918869968211</v>
      </c>
    </row>
    <row r="49">
      <c r="A49" t="inlineStr">
        <is>
          <t>EBIT margin</t>
        </is>
      </c>
      <c r="E49" s="29" t="n">
        <v>0.3149902152641878</v>
      </c>
      <c r="F49" s="29" t="n">
        <v>0.3239696716799545</v>
      </c>
      <c r="G49" s="29" t="n">
        <v>0.3274339178225595</v>
      </c>
    </row>
    <row r="50">
      <c r="A50" t="inlineStr">
        <is>
          <t>Tax rate</t>
        </is>
      </c>
      <c r="B50" s="18">
        <f>B24</f>
        <v/>
      </c>
      <c r="C50" s="18">
        <f>C24</f>
        <v/>
      </c>
      <c r="D50" s="18">
        <f>D24</f>
        <v/>
      </c>
      <c r="E50" s="29" t="n">
        <v>0.155</v>
      </c>
      <c r="F50" s="29" t="n">
        <v>0.155</v>
      </c>
      <c r="G50" s="29" t="n">
        <v>0.155</v>
      </c>
    </row>
    <row r="51">
      <c r="A51" t="inlineStr">
        <is>
          <t>D&amp;A % revenue</t>
        </is>
      </c>
      <c r="B51" s="18">
        <f>B17/B11</f>
        <v/>
      </c>
      <c r="C51" s="18">
        <f>C17/C11</f>
        <v/>
      </c>
      <c r="D51" s="18">
        <f>D17/D11</f>
        <v/>
      </c>
      <c r="E51" s="29" t="n">
        <v>0.008</v>
      </c>
      <c r="F51" s="29" t="n">
        <v>0.008</v>
      </c>
      <c r="G51" s="29" t="n">
        <v>0.008</v>
      </c>
    </row>
    <row r="52">
      <c r="A52" t="inlineStr">
        <is>
          <t>Capex % revenue</t>
        </is>
      </c>
      <c r="B52" s="18">
        <f>B36</f>
        <v/>
      </c>
      <c r="C52" s="18">
        <f>C36</f>
        <v/>
      </c>
      <c r="D52" s="18">
        <f>D36</f>
        <v/>
      </c>
      <c r="E52" s="29" t="n">
        <v>0.05422504892367905</v>
      </c>
      <c r="F52" s="29" t="n">
        <v>0.0538385034714207</v>
      </c>
      <c r="G52" s="29" t="n">
        <v>0.05366042920701386</v>
      </c>
    </row>
    <row r="53">
      <c r="A53" t="inlineStr">
        <is>
          <t>Working capital % of revenue increase</t>
        </is>
      </c>
      <c r="E53" s="29" t="n">
        <v>0</v>
      </c>
      <c r="F53" s="29" t="n">
        <v>0</v>
      </c>
      <c r="G53" s="29" t="n">
        <v>0</v>
      </c>
    </row>
    <row r="54">
      <c r="A54" t="inlineStr">
        <is>
          <t>Stock comp % revenue</t>
        </is>
      </c>
      <c r="B54" s="18">
        <f>B42/B11</f>
        <v/>
      </c>
      <c r="C54" s="18">
        <f>C42/C11</f>
        <v/>
      </c>
      <c r="D54" s="18">
        <f>D42/D11</f>
        <v/>
      </c>
      <c r="E54" s="29" t="n">
        <v>0.01</v>
      </c>
      <c r="F54" s="29" t="n">
        <v>0.01</v>
      </c>
      <c r="G54" s="29" t="n">
        <v>0.01</v>
      </c>
    </row>
    <row r="55">
      <c r="A55" t="inlineStr">
        <is>
          <t>Shareholder returns ($)</t>
        </is>
      </c>
      <c r="E55" s="30" t="n">
        <v>0</v>
      </c>
      <c r="F55" s="30" t="n">
        <v>0</v>
      </c>
      <c r="G55" s="30" t="n">
        <v>0</v>
      </c>
    </row>
    <row r="56">
      <c r="A56" t="inlineStr">
        <is>
          <t>Shareholder returns % revenue</t>
        </is>
      </c>
      <c r="B56" s="18">
        <f>B44</f>
        <v/>
      </c>
      <c r="C56" s="18">
        <f>C44</f>
        <v/>
      </c>
      <c r="D56" s="18">
        <f>D44</f>
        <v/>
      </c>
      <c r="E56" s="29" t="n">
        <v>0</v>
      </c>
      <c r="F56" s="29" t="n">
        <v>0</v>
      </c>
      <c r="G56" s="29" t="n">
        <v>0</v>
      </c>
    </row>
    <row r="57">
      <c r="A57" t="inlineStr">
        <is>
          <t>Other uses of cash ($: M&amp;A, investments)</t>
        </is>
      </c>
      <c r="E57" s="30" t="n">
        <v>0</v>
      </c>
      <c r="F57" s="30" t="n">
        <v>0</v>
      </c>
      <c r="G57" s="30" t="n">
        <v>0</v>
      </c>
    </row>
    <row r="58">
      <c r="A58" t="inlineStr">
        <is>
          <t>Adj. EBITDA addback % revenue</t>
        </is>
      </c>
      <c r="E58" s="29" t="n">
        <v>0</v>
      </c>
      <c r="F58" s="29" t="n">
        <v>0</v>
      </c>
      <c r="G58" s="29" t="n">
        <v>0</v>
      </c>
    </row>
    <row r="60">
      <c r="A60" s="21" t="inlineStr">
        <is>
          <t>Versus company guidance and street consensus</t>
        </is>
      </c>
      <c r="B60" s="22" t="n"/>
      <c r="C60" s="22" t="n"/>
      <c r="D60" s="22" t="n"/>
      <c r="E60" s="22" t="n"/>
      <c r="F60" s="22" t="n"/>
      <c r="G60" s="22" t="n"/>
      <c r="H60" s="22" t="n"/>
    </row>
    <row r="61">
      <c r="A61" t="inlineStr">
        <is>
          <t>Guidance: revenue (GAAP), midpoint</t>
        </is>
      </c>
      <c r="E61" s="31">
        <f>AVERAGE(51100,51100)</f>
        <v/>
      </c>
      <c r="H61" s="2" t="inlineStr">
        <is>
          <t>5.11e+04 to 5.11e+04; as of 2026-10-20; source 1 (Netflix Q3 2026 shareholder letter (8-K Ex. 99.1))</t>
        </is>
      </c>
    </row>
    <row r="62">
      <c r="A62" s="11" t="inlineStr">
        <is>
          <t xml:space="preserve">  Model vs guidance midpoint</t>
        </is>
      </c>
      <c r="E62" s="25">
        <f>E11/E61-1</f>
        <v/>
      </c>
      <c r="H62" s="2">
        <f>IF(E11&lt;51100,"below the guided range",IF(E11&gt;51100,"above the guided range","inside the guided range"))</f>
        <v/>
      </c>
    </row>
    <row r="63">
      <c r="A63" t="inlineStr">
        <is>
          <t>Guidance: operating margin (GAAP), midpoint</t>
        </is>
      </c>
      <c r="E63" s="31">
        <f>AVERAGE(0.315,0.315)</f>
        <v/>
      </c>
      <c r="H63" s="2" t="inlineStr">
        <is>
          <t>0.315 to 0.315; as of 2026-10-20; source 1 (Netflix Q3 2026 shareholder letter (8-K Ex. 99.1))</t>
        </is>
      </c>
    </row>
    <row r="64">
      <c r="A64" t="inlineStr">
        <is>
          <t>Guidance: free cash flow (non-GAAP), midpoint</t>
        </is>
      </c>
      <c r="E64" s="31">
        <f>AVERAGE(12000,12000)</f>
        <v/>
      </c>
      <c r="H64" s="2" t="inlineStr">
        <is>
          <t>1.2e+04 to 1.2e+04; as of 2026-10-20; source 1 (Netflix Q3 2026 shareholder letter (8-K Ex. 99.1))</t>
        </is>
      </c>
    </row>
    <row r="65">
      <c r="A65" t="inlineStr">
        <is>
          <t>Consensus: EPS diluted (Zacks consensus (pre-print))</t>
        </is>
      </c>
      <c r="F65" s="15" t="n">
        <v>3.8</v>
      </c>
      <c r="H65" s="2" t="inlineStr">
        <is>
          <t>as of 2026-10-20; source 6 (Nasdaq/Zacks NFLX earnings forecast)</t>
        </is>
      </c>
    </row>
    <row r="66">
      <c r="A66" s="11" t="inlineStr">
        <is>
          <t xml:space="preserve">  Model vs consensus</t>
        </is>
      </c>
      <c r="F66" s="25">
        <f>F29/F65-1</f>
        <v/>
      </c>
    </row>
    <row r="67">
      <c r="A67" t="inlineStr">
        <is>
          <t>Consensus: EPS diluted (Zacks consensus (pre-print))</t>
        </is>
      </c>
      <c r="G67" s="15" t="n">
        <v>4.52</v>
      </c>
      <c r="H67" s="2" t="inlineStr">
        <is>
          <t>as of 2026-10-20; source 6 (Nasdaq/Zacks NFLX earnings forecast)</t>
        </is>
      </c>
    </row>
    <row r="68">
      <c r="A68" s="11" t="inlineStr">
        <is>
          <t xml:space="preserve">  Model vs consensus</t>
        </is>
      </c>
      <c r="G68" s="25">
        <f>G29/G67-1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NFLX: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6">
        <f>'Calc - research target (12m)'!A67</f>
        <v/>
      </c>
      <c r="B4" s="4">
        <f>IF('Calc - research target (12m)'!C67="","",'Calc - research target (12m)'!C67)</f>
        <v/>
      </c>
      <c r="C4" s="32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D4*E4/SUM($E$4:$E$5)</f>
        <v/>
      </c>
    </row>
    <row r="5">
      <c r="A5" s="16">
        <f>'Calc - research target (12m)'!A68</f>
        <v/>
      </c>
      <c r="B5" s="4">
        <f>IF('Calc - research target (12m)'!C68="","",'Calc - research target (12m)'!C68)</f>
        <v/>
      </c>
      <c r="C5" s="32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D5*E5/SUM($E$4:$E$5)</f>
        <v/>
      </c>
    </row>
    <row r="6">
      <c r="A6" s="19" t="inlineStr">
        <is>
          <t>Research target (12m) per share</t>
        </is>
      </c>
      <c r="D6" s="6">
        <f>'Calc - research target (12m)'!$F$69</f>
        <v/>
      </c>
      <c r="F6" s="6">
        <f>SUM(F4:F5)</f>
        <v/>
      </c>
    </row>
    <row r="8">
      <c r="A8" s="21" t="inlineStr">
        <is>
          <t>12-month EPS basis (what the P/E is applied to)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</row>
    <row r="9">
      <c r="A9" s="3" t="inlineStr">
        <is>
          <t>Fiscal year</t>
        </is>
      </c>
      <c r="B9" s="3">
        <f>Model!E5</f>
        <v/>
      </c>
      <c r="C9" s="3">
        <f>Model!F5</f>
        <v/>
      </c>
      <c r="D9" s="3">
        <f>Model!G5</f>
        <v/>
      </c>
    </row>
    <row r="10">
      <c r="A10" t="inlineStr">
        <is>
          <t>Share of the 12 months after the target date</t>
        </is>
      </c>
      <c r="B10" s="12">
        <f>'Calc - research target (12m)'!C38</f>
        <v/>
      </c>
      <c r="C10" s="12">
        <f>'Calc - research target (12m)'!D38</f>
        <v/>
      </c>
      <c r="D10" s="12">
        <f>'Calc - research target (12m)'!E38</f>
        <v/>
      </c>
    </row>
    <row r="11">
      <c r="A11" t="inlineStr">
        <is>
          <t>Model EPS (Model tab)</t>
        </is>
      </c>
      <c r="B11" s="13">
        <f>Model!E29</f>
        <v/>
      </c>
      <c r="C11" s="13">
        <f>Model!F29</f>
        <v/>
      </c>
      <c r="D11" s="13">
        <f>Model!G29</f>
        <v/>
      </c>
    </row>
    <row r="12">
      <c r="A12" t="inlineStr">
        <is>
          <t>Model EPS, next 12 months after the target date</t>
        </is>
      </c>
      <c r="B12" s="28">
        <f>SUMPRODUCT(B10:D10,B11:D11)</f>
        <v/>
      </c>
    </row>
    <row r="15">
      <c r="A15" s="21" t="inlineStr">
        <is>
          <t>DCF build (free cash flow to firm, discounted to the target date)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</row>
    <row r="16">
      <c r="A16" s="3" t="inlineStr">
        <is>
          <t>Fiscal year</t>
        </is>
      </c>
      <c r="B16" s="3">
        <f>Model!E5</f>
        <v/>
      </c>
      <c r="C16" s="3">
        <f>Model!F5</f>
        <v/>
      </c>
      <c r="D16" s="3">
        <f>Model!G5</f>
        <v/>
      </c>
    </row>
    <row r="17">
      <c r="A17" t="inlineStr">
        <is>
          <t>Free cash flow to firm</t>
        </is>
      </c>
      <c r="B17" s="10">
        <f>'Calc - research target (12m)'!C31</f>
        <v/>
      </c>
      <c r="C17" s="10">
        <f>'Calc - research target (12m)'!D31</f>
        <v/>
      </c>
      <c r="D17" s="10">
        <f>'Calc - research target (12m)'!E31</f>
        <v/>
      </c>
    </row>
    <row r="18">
      <c r="A18" t="inlineStr">
        <is>
          <t>Share of the year after the target date</t>
        </is>
      </c>
      <c r="B18" s="12">
        <f>'Calc - research target (12m)'!C35</f>
        <v/>
      </c>
      <c r="C18" s="12">
        <f>'Calc - research target (12m)'!D35</f>
        <v/>
      </c>
      <c r="D18" s="12">
        <f>'Calc - research target (12m)'!E35</f>
        <v/>
      </c>
    </row>
    <row r="19">
      <c r="A19" t="inlineStr">
        <is>
          <t>PV at target date</t>
        </is>
      </c>
      <c r="B19" s="10">
        <f>'Calc - research target (12m)'!C36</f>
        <v/>
      </c>
      <c r="C19" s="10">
        <f>'Calc - research target (12m)'!D36</f>
        <v/>
      </c>
      <c r="D19" s="10">
        <f>'Calc - research target (12m)'!E36</f>
        <v/>
      </c>
    </row>
    <row r="21">
      <c r="A21" t="inlineStr">
        <is>
          <t>PV of free cash flow after the target date</t>
        </is>
      </c>
      <c r="B21" s="10">
        <f>'Calc - research target (12m)'!B42</f>
        <v/>
      </c>
    </row>
    <row r="22">
      <c r="A22" t="inlineStr">
        <is>
          <t>Terminal value (final year)</t>
        </is>
      </c>
      <c r="B22" s="10">
        <f>'Calc - research target (12m)'!B43</f>
        <v/>
      </c>
    </row>
    <row r="23">
      <c r="A23" t="inlineStr">
        <is>
          <t>PV of terminal value</t>
        </is>
      </c>
      <c r="B23" s="10">
        <f>'Calc - research target (12m)'!B44</f>
        <v/>
      </c>
    </row>
    <row r="24">
      <c r="A24" t="inlineStr">
        <is>
          <t>Enterprise value at target date</t>
        </is>
      </c>
      <c r="B24" s="10">
        <f>'Calc - research target (12m)'!B45</f>
        <v/>
      </c>
    </row>
    <row r="25">
      <c r="A25" t="inlineStr">
        <is>
          <t>Terminal value share of DCF</t>
        </is>
      </c>
      <c r="B25" s="12">
        <f>'Calc - research target (12m)'!B46</f>
        <v/>
      </c>
    </row>
    <row r="26">
      <c r="A26" t="inlineStr">
        <is>
          <t>Net debt at target date</t>
        </is>
      </c>
      <c r="B26" s="10">
        <f>'Calc - research target (12m)'!B50</f>
        <v/>
      </c>
    </row>
    <row r="27">
      <c r="A27" t="inlineStr">
        <is>
          <t>Minority interests</t>
        </is>
      </c>
      <c r="B27" s="10">
        <f>'Calc - research target (12m)'!B51</f>
        <v/>
      </c>
    </row>
    <row r="28">
      <c r="A28" t="inlineStr">
        <is>
          <t>Adjustments</t>
        </is>
      </c>
      <c r="B28" s="10">
        <f>'Calc - research target (12m)'!B52</f>
        <v/>
      </c>
    </row>
    <row r="29">
      <c r="A29" t="inlineStr">
        <is>
          <t>Diluted shares at target date (M)</t>
        </is>
      </c>
      <c r="B29" s="33">
        <f>'Calc - research target (12m)'!B53</f>
        <v/>
      </c>
    </row>
    <row r="30">
      <c r="A30" t="inlineStr">
        <is>
          <t>DCF value per share</t>
        </is>
      </c>
      <c r="B30" s="4">
        <f>'Calc - research target (12m)'!F67</f>
        <v/>
      </c>
    </row>
    <row r="31">
      <c r="A31" t="inlineStr">
        <is>
          <t>WACC</t>
        </is>
      </c>
      <c r="B31" s="12">
        <f>'Calc - research target (12m)'!B12</f>
        <v/>
      </c>
    </row>
    <row r="41">
      <c r="A41" s="21" t="inlineStr">
        <is>
          <t>Assumptions (blue = input; sources on the Sources tab)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</row>
    <row r="42">
      <c r="A42" s="3" t="inlineStr">
        <is>
          <t>Input</t>
        </is>
      </c>
      <c r="B42" s="3" t="inlineStr">
        <is>
          <t>Value</t>
        </is>
      </c>
      <c r="C42" s="3" t="inlineStr">
        <is>
          <t>Basis / note</t>
        </is>
      </c>
    </row>
    <row r="43">
      <c r="A43" t="inlineStr">
        <is>
          <t>Run date (valuation as of)</t>
        </is>
      </c>
      <c r="B43" s="34" t="n">
        <v>46318</v>
      </c>
      <c r="C43" t="inlineStr"/>
    </row>
    <row r="44">
      <c r="A44" t="inlineStr">
        <is>
          <t>Target date (run date + 365 days)</t>
        </is>
      </c>
      <c r="B44" s="20">
        <f>B43+365</f>
        <v/>
      </c>
      <c r="C44" t="inlineStr">
        <is>
          <t>12-month horizon</t>
        </is>
      </c>
    </row>
    <row r="45">
      <c r="A45" t="inlineStr">
        <is>
          <t>Money unit</t>
        </is>
      </c>
      <c r="B45" s="35" t="inlineStr">
        <is>
          <t>$M</t>
        </is>
      </c>
      <c r="C45" t="inlineStr"/>
    </row>
    <row r="46">
      <c r="A46" t="inlineStr">
        <is>
          <t>EBIT basis (gaap / adjusted)</t>
        </is>
      </c>
      <c r="B46" s="35" t="inlineStr">
        <is>
          <t>gaap</t>
        </is>
      </c>
      <c r="C46" t="inlineStr">
        <is>
          <t>gaap = after stock comp</t>
        </is>
      </c>
    </row>
    <row r="47">
      <c r="A47" t="inlineStr">
        <is>
          <t>Stock comp treatment (cost / dilution)</t>
        </is>
      </c>
      <c r="B47" s="35" t="inlineStr">
        <is>
          <t>cost</t>
        </is>
      </c>
      <c r="C47" t="inlineStr">
        <is>
          <t>used only when EBIT is adjusted</t>
        </is>
      </c>
    </row>
    <row r="48">
      <c r="A48" t="inlineStr">
        <is>
          <t>Last reported fiscal year end</t>
        </is>
      </c>
      <c r="B48" s="34" t="n">
        <v>46022</v>
      </c>
      <c r="C48" t="inlineStr"/>
    </row>
    <row r="49">
      <c r="A49" t="inlineStr">
        <is>
          <t>Net sales, last reported year ($M)</t>
        </is>
      </c>
      <c r="B49" s="30" t="n">
        <v>45183</v>
      </c>
      <c r="C49" t="inlineStr"/>
    </row>
    <row r="50">
      <c r="A50" t="inlineStr">
        <is>
          <t>WACC</t>
        </is>
      </c>
      <c r="B50" s="29" t="n">
        <v>0.094</v>
      </c>
      <c r="C50" t="inlineStr">
        <is>
          <t>Cost of equity 9.62% = 10y UST 5.12% (Treasury par curve 2026-10-20) + beta 1.0 x ERP 4.5%; beta between the 2y (0.92) and 3y (1.04) weekly regressions vs SPY, 5y (1.41) set aside as 2022-dominated; after-tax cost of debt 4.73% (5.6% x 0.845) at 5.3% weight -&gt; 9.36%, rounded 9.4%.</t>
        </is>
      </c>
    </row>
    <row r="51">
      <c r="A51" t="inlineStr">
        <is>
          <t>Terminal method (gordon / exit_multiple / steady_state)</t>
        </is>
      </c>
      <c r="B51" s="35" t="inlineStr">
        <is>
          <t>gordon</t>
        </is>
      </c>
      <c r="C51" t="inlineStr"/>
    </row>
    <row r="52">
      <c r="A52" t="inlineStr">
        <is>
          <t>Terminal growth</t>
        </is>
      </c>
      <c r="B52" s="29" t="n">
        <v>0.03</v>
      </c>
      <c r="C52" t="inlineStr"/>
    </row>
    <row r="53">
      <c r="A53" t="inlineStr">
        <is>
          <t>Exit EV/EBITDA (exit_multiple only)</t>
        </is>
      </c>
      <c r="B53" s="36" t="n"/>
      <c r="C53" t="inlineStr"/>
    </row>
    <row r="54">
      <c r="A54" t="inlineStr">
        <is>
          <t>Balance-sheet date</t>
        </is>
      </c>
      <c r="B54" s="34" t="n">
        <v>46295</v>
      </c>
      <c r="C54" t="inlineStr"/>
    </row>
    <row r="55">
      <c r="A55" t="inlineStr">
        <is>
          <t>Net debt / (net cash) at balance date ($M)</t>
        </is>
      </c>
      <c r="B55" s="30" t="n">
        <v>7114</v>
      </c>
      <c r="C55" t="inlineStr">
        <is>
          <t>excludes operating leases</t>
        </is>
      </c>
    </row>
    <row r="56">
      <c r="A56" t="inlineStr">
        <is>
          <t>Minority interests + preferred stock</t>
        </is>
      </c>
      <c r="B56" s="30" t="n">
        <v>0</v>
      </c>
      <c r="C56" t="inlineStr"/>
    </row>
    <row r="57">
      <c r="A57" t="inlineStr">
        <is>
          <t>Interest rate on net debt / cash</t>
        </is>
      </c>
      <c r="B57" s="29" t="n">
        <v>0.056</v>
      </c>
      <c r="C57" t="inlineStr"/>
    </row>
    <row r="58">
      <c r="A58" t="inlineStr">
        <is>
          <t>Net debt at target date (override; blank = bridge)</t>
        </is>
      </c>
      <c r="B58" s="30" t="n">
        <v>7500</v>
      </c>
      <c r="C58" t="inlineStr"/>
    </row>
    <row r="59">
      <c r="A59" t="inlineStr">
        <is>
          <t>Diluted shares (M)</t>
        </is>
      </c>
      <c r="B59" s="37" t="n">
        <v>4195.1</v>
      </c>
      <c r="C59" t="inlineStr"/>
    </row>
    <row r="60">
      <c r="A60" t="inlineStr">
        <is>
          <t>Share count date</t>
        </is>
      </c>
      <c r="B60" s="34" t="n">
        <v>46295</v>
      </c>
      <c r="C60" t="inlineStr"/>
    </row>
    <row r="61">
      <c r="A61" t="inlineStr">
        <is>
          <t>Annual change in diluted shares</t>
        </is>
      </c>
      <c r="B61" s="29" t="n">
        <v>-0.03</v>
      </c>
      <c r="C61" t="inlineStr">
        <is>
          <t>net of buybacks and stock-comp dilution</t>
        </is>
      </c>
    </row>
    <row r="62">
      <c r="A62" t="inlineStr">
        <is>
          <t>Shares at target date (override; blank = from annual change)</t>
        </is>
      </c>
      <c r="B62" s="37" t="n"/>
      <c r="C62" t="inlineStr"/>
    </row>
    <row r="63">
      <c r="A63" t="inlineStr">
        <is>
          <t>DCF weight</t>
        </is>
      </c>
      <c r="B63" s="29" t="n">
        <v>0</v>
      </c>
      <c r="C63" t="inlineStr">
        <is>
          <t>Kilian 2026-10-21: 0 unless the name has a DCF leg (dcf_policy)</t>
        </is>
      </c>
    </row>
    <row r="64">
      <c r="A64" t="inlineStr">
        <is>
          <t>Sum-of-the-parts weight</t>
        </is>
      </c>
      <c r="B64" s="29" t="n">
        <v>0</v>
      </c>
      <c r="C64" t="inlineStr"/>
    </row>
    <row r="65">
      <c r="A65" t="inlineStr">
        <is>
          <t>Spread within each scenario (lognormal vol)</t>
        </is>
      </c>
      <c r="B65" s="29" t="n">
        <v>0.15</v>
      </c>
      <c r="C65" t="inlineStr"/>
    </row>
    <row r="66">
      <c r="A66" t="inlineStr">
        <is>
          <t>Share price at the run</t>
        </is>
      </c>
      <c r="B66" s="38" t="n">
        <v>65.84999999999999</v>
      </c>
      <c r="C66" t="inlineStr">
        <is>
          <t>close used by the run (2026-10-23)</t>
        </is>
      </c>
    </row>
    <row r="68">
      <c r="A68" s="3" t="inlineStr">
        <is>
          <t>Target multiple</t>
        </is>
      </c>
      <c r="B68" s="3" t="inlineStr">
        <is>
          <t>Multiple</t>
        </is>
      </c>
      <c r="C68" s="3" t="inlineStr">
        <is>
          <t>Weight</t>
        </is>
      </c>
      <c r="D68" s="3" t="inlineStr">
        <is>
          <t>Basis (ntm / ltm)</t>
        </is>
      </c>
      <c r="E68" s="3" t="inlineStr">
        <is>
          <t>EBITDA basis</t>
        </is>
      </c>
      <c r="F68" s="3" t="inlineStr">
        <is>
          <t>Stated EPS</t>
        </is>
      </c>
      <c r="G68" s="3" t="inlineStr">
        <is>
          <t>Stated FCF/share</t>
        </is>
      </c>
      <c r="H68" s="3" t="inlineStr">
        <is>
          <t>Levered</t>
        </is>
      </c>
      <c r="I68" s="3" t="inlineStr">
        <is>
          <t>Peer basis</t>
        </is>
      </c>
    </row>
    <row r="69">
      <c r="A69" s="35" t="inlineStr">
        <is>
          <t>P/E</t>
        </is>
      </c>
      <c r="B69" s="36" t="n">
        <v>19.07</v>
      </c>
      <c r="C69" s="29" t="n">
        <v>0.8</v>
      </c>
      <c r="D69" s="35" t="inlineStr">
        <is>
          <t>ntm</t>
        </is>
      </c>
      <c r="E69" s="35" t="inlineStr">
        <is>
          <t>gaap</t>
        </is>
      </c>
      <c r="F69" s="39" t="n"/>
      <c r="G69" s="39" t="n"/>
      <c r="H69" s="35" t="b">
        <v>1</v>
      </c>
      <c r="I69" t="inlineStr">
        <is>
          <t>6-peer NTM P/E median 21.82x on one EPS basis with NFLX (2026-10-23 closes; peers.md 'Rebuilt FY1 basis'): DIS 16.5, SONY 17.9, META 19.6, GOOGL 24.0, AMZN 26.6, SPOT 36.3 (flag: 6 peers). NFLX own 18.44x. Exit 19.07x = median x (own / median)^0.8 (default rule, Kilian card 2026-10-26 12:16Z). FOXA, WMG, TKO, TME (China), ROKU, PSKY out.</t>
        </is>
      </c>
    </row>
    <row r="71">
      <c r="A71" s="3" t="inlineStr">
        <is>
          <t>Segment (sum of the parts)</t>
        </is>
      </c>
      <c r="B71" s="3" t="inlineStr">
        <is>
          <t>NTM metric</t>
        </is>
      </c>
      <c r="C71" s="3" t="inlineStr">
        <is>
          <t>Metric</t>
        </is>
      </c>
      <c r="D71" s="3" t="inlineStr">
        <is>
          <t>Multiple</t>
        </is>
      </c>
      <c r="E71" s="3" t="inlineStr">
        <is>
          <t>Note</t>
        </is>
      </c>
    </row>
    <row r="72">
      <c r="A72" s="11" t="inlineStr">
        <is>
          <t>none</t>
        </is>
      </c>
    </row>
    <row r="74">
      <c r="A74" s="3" t="inlineStr">
        <is>
          <t>Adjustment (equity level)</t>
        </is>
      </c>
      <c r="B74" s="3" t="inlineStr">
        <is>
          <t>Value</t>
        </is>
      </c>
      <c r="C74" s="3" t="inlineStr">
        <is>
          <t>Probability</t>
        </is>
      </c>
      <c r="D74" s="3" t="inlineStr">
        <is>
          <t>Note</t>
        </is>
      </c>
    </row>
    <row r="75">
      <c r="A75" s="35" t="inlineStr">
        <is>
          <t>Probability-weighted large M&amp;A value leakage</t>
        </is>
      </c>
      <c r="B75" s="30" t="n">
        <v>-4000</v>
      </c>
      <c r="C75" s="29" t="n">
        <v>0.2</v>
      </c>
      <c r="D75" t="inlineStr">
        <is>
          <t>~$83B WBD agreement signed in late 2025 and abandoned; WBD now owned by Skydance (closed 2026-10-06). 20% chance of a large deal destroying ~$4B over the horizon.</t>
        </is>
      </c>
    </row>
    <row r="77">
      <c r="A77" s="3" t="inlineStr">
        <is>
          <t>Custom method</t>
        </is>
      </c>
      <c r="B77" s="3" t="inlineStr">
        <is>
          <t>Value per share</t>
        </is>
      </c>
      <c r="C77" s="3" t="inlineStr">
        <is>
          <t>Weight</t>
        </is>
      </c>
      <c r="D77" s="3" t="inlineStr">
        <is>
          <t>Explanation</t>
        </is>
      </c>
    </row>
    <row r="78">
      <c r="A78" s="11" t="inlineStr">
        <is>
          <t>none</t>
        </is>
      </c>
    </row>
    <row r="80">
      <c r="A80" s="3" t="inlineStr">
        <is>
          <t>Scenario</t>
        </is>
      </c>
      <c r="B80" s="3" t="inlineStr">
        <is>
          <t>Probability</t>
        </is>
      </c>
      <c r="C80" s="3" t="inlineStr">
        <is>
          <t>Growth Δ</t>
        </is>
      </c>
      <c r="D80" s="3" t="inlineStr">
        <is>
          <t>Margin Δ</t>
        </is>
      </c>
      <c r="E80" s="3" t="inlineStr">
        <is>
          <t>Multiple Δ (turns)</t>
        </is>
      </c>
      <c r="F80" s="3" t="inlineStr">
        <is>
          <t>WACC Δ</t>
        </is>
      </c>
      <c r="G80" s="3" t="inlineStr">
        <is>
          <t>Multiple %Δ (FCF yield, segments)</t>
        </is>
      </c>
      <c r="H80" s="3" t="inlineStr">
        <is>
          <t>Stated EPS/FCF %Δ</t>
        </is>
      </c>
      <c r="I80" s="3" t="inlineStr">
        <is>
          <t>Custom methods %Δ</t>
        </is>
      </c>
      <c r="J80" s="3" t="inlineStr">
        <is>
          <t>Story</t>
        </is>
      </c>
    </row>
    <row r="81">
      <c r="A81" t="inlineStr">
        <is>
          <t>bear</t>
        </is>
      </c>
      <c r="B81" s="29" t="n">
        <v>0.25</v>
      </c>
      <c r="C81" s="29" t="n"/>
      <c r="D81" s="29" t="n"/>
      <c r="E81" s="40" t="n">
        <v>-4</v>
      </c>
      <c r="F81" s="29" t="n">
        <v>0.005</v>
      </c>
      <c r="G81" s="29" t="n"/>
      <c r="H81" s="29" t="n"/>
      <c r="I81" s="29" t="n"/>
      <c r="J81" s="41" t="inlineStr">
        <is>
          <t>Engagement keeps sliding to YouTube/creator and AI video; the closed Paramount-WBD (Skydance) combination bids up content and sports and pulls licensed titles; price rises meet churn; FY27 growth ~7%, ads stall near $3.3B, margin ~31-32%; P/E ~15x (exit 19.07x - 4; DIS 16.5x on the same basis).</t>
        </is>
      </c>
      <c r="K81" s="41" t="inlineStr">
        <is>
          <t>driver deltas: sub_rev -0.04 %; ad_rev -0.15 %; content_amort +0.01 %; other_opex -0.03 %</t>
        </is>
      </c>
    </row>
    <row r="82">
      <c r="A82" t="inlineStr">
        <is>
          <t>base</t>
        </is>
      </c>
      <c r="B82" s="29" t="n">
        <v>0.5</v>
      </c>
      <c r="C82" s="29" t="n"/>
      <c r="D82" s="29" t="n"/>
      <c r="E82" s="40" t="n"/>
      <c r="F82" s="29" t="n"/>
      <c r="G82" s="29" t="n"/>
      <c r="H82" s="29" t="n"/>
      <c r="I82" s="29" t="n"/>
      <c r="J82" s="41" t="inlineStr">
        <is>
          <t>FY27 revenue +10.2% (~$56.3B: subscription +8.3%, ads ~$3.9B), content amortization +9%, other costs +9.5% underlying -&gt; GAAP margin 32.4% FY27, 32.7% FY28; NTM P/E 19.07x (peer refresh 2026-10-26).</t>
        </is>
      </c>
    </row>
    <row r="83">
      <c r="A83" t="inlineStr">
        <is>
          <t>bull</t>
        </is>
      </c>
      <c r="B83" s="29" t="n">
        <v>0.25</v>
      </c>
      <c r="C83" s="29" t="n"/>
      <c r="D83" s="29" t="n"/>
      <c r="E83" s="40" t="n">
        <v>3</v>
      </c>
      <c r="F83" s="29" t="n"/>
      <c r="G83" s="29" t="n"/>
      <c r="H83" s="29" t="n"/>
      <c r="I83" s="29" t="n"/>
      <c r="J83" s="41" t="inlineStr">
        <is>
          <t>Ad-tech rollout and the 15-country 2027 launch lift ads above $4.5B, churn keeps improving and the January annual engagement report shows per-member hours stabilising; re-rates to ~22x (exit 19.07x + 3; peer median 21.8x).</t>
        </is>
      </c>
      <c r="K83" s="41" t="inlineStr">
        <is>
          <t>driver deltas: sub_rev +0.015 %; ad_rev +0.15 %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NFLX: sensitivity tables (bold = current inputs; every cell recalculates from the live model)</t>
        </is>
      </c>
    </row>
    <row r="3">
      <c r="A3" s="19" t="inlineStr">
        <is>
          <t>DCF value per share: WACC (down) x terminal growth (across)</t>
        </is>
      </c>
    </row>
    <row r="4">
      <c r="A4" s="19" t="inlineStr">
        <is>
          <t>WACC \ growth</t>
        </is>
      </c>
      <c r="B4" s="7">
        <f>Valuation!$B$52+(-0.01)</f>
        <v/>
      </c>
      <c r="C4" s="7">
        <f>Valuation!$B$52+(-0.005)</f>
        <v/>
      </c>
      <c r="D4" s="7">
        <f>Valuation!$B$52+(0)</f>
        <v/>
      </c>
      <c r="E4" s="7">
        <f>Valuation!$B$52+(0.005)</f>
        <v/>
      </c>
      <c r="F4" s="7">
        <f>Valuation!$B$52+(0.01)</f>
        <v/>
      </c>
    </row>
    <row r="5">
      <c r="A5" s="7">
        <f>Valuation!$B$50+(-0.01)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Valuation!$B$50+(-0.005)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Valuation!$B$50+(0)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Valuation!$B$50+(0.005)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Valuation!$B$50+(0.01)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19" t="inlineStr">
        <is>
          <t>Research target (12m) per share: P/E multiple (down) x metric at target date (across)</t>
        </is>
      </c>
    </row>
    <row r="12">
      <c r="A12" s="19" t="inlineStr">
        <is>
          <t>Multiple \ metric</t>
        </is>
      </c>
      <c r="B12" s="24">
        <f>'Calc - research target (12m)'!$E$68*0.9</f>
        <v/>
      </c>
      <c r="C12" s="24">
        <f>'Calc - research target (12m)'!$E$68*0.95</f>
        <v/>
      </c>
      <c r="D12" s="24">
        <f>'Calc - research target (12m)'!$E$68*1.0</f>
        <v/>
      </c>
      <c r="E12" s="24">
        <f>'Calc - research target (12m)'!$E$68*1.05</f>
        <v/>
      </c>
      <c r="F12" s="24">
        <f>'Calc - research target (12m)'!$E$68*1.1</f>
        <v/>
      </c>
    </row>
    <row r="13">
      <c r="A13" s="42">
        <f>Valuation!$B$69+(-3)</f>
        <v/>
      </c>
      <c r="B13" s="9">
        <f>((SUMPRODUCT('Calc - research target (12m)'!$F$67:$F$68,'Calc - research target (12m)'!$G$67:$G$68)-'Calc - research target (12m)'!$F$68*'Calc - research target (12m)'!$G$68)+'Calc - research target (12m)'!$G$68*($A13*(B$12-'Calc - research target (12m)'!$B$54)/'Calc - research target (12m)'!$B$53+'Calc - research target (12m)'!$B$52/'Calc - research target (12m)'!$B$53))/SUM('Calc - research target (12m)'!$G$67:$G$68)</f>
        <v/>
      </c>
      <c r="C13" s="9">
        <f>((SUMPRODUCT('Calc - research target (12m)'!$F$67:$F$68,'Calc - research target (12m)'!$G$67:$G$68)-'Calc - research target (12m)'!$F$68*'Calc - research target (12m)'!$G$68)+'Calc - research target (12m)'!$G$68*($A13*(C$12-'Calc - research target (12m)'!$B$54)/'Calc - research target (12m)'!$B$53+'Calc - research target (12m)'!$B$52/'Calc - research target (12m)'!$B$53))/SUM('Calc - research target (12m)'!$G$67:$G$68)</f>
        <v/>
      </c>
      <c r="D13" s="9">
        <f>((SUMPRODUCT('Calc - research target (12m)'!$F$67:$F$68,'Calc - research target (12m)'!$G$67:$G$68)-'Calc - research target (12m)'!$F$68*'Calc - research target (12m)'!$G$68)+'Calc - research target (12m)'!$G$68*($A13*(D$12-'Calc - research target (12m)'!$B$54)/'Calc - research target (12m)'!$B$53+'Calc - research target (12m)'!$B$52/'Calc - research target (12m)'!$B$53))/SUM('Calc - research target (12m)'!$G$67:$G$68)</f>
        <v/>
      </c>
      <c r="E13" s="9">
        <f>((SUMPRODUCT('Calc - research target (12m)'!$F$67:$F$68,'Calc - research target (12m)'!$G$67:$G$68)-'Calc - research target (12m)'!$F$68*'Calc - research target (12m)'!$G$68)+'Calc - research target (12m)'!$G$68*($A13*(E$12-'Calc - research target (12m)'!$B$54)/'Calc - research target (12m)'!$B$53+'Calc - research target (12m)'!$B$52/'Calc - research target (12m)'!$B$53))/SUM('Calc - research target (12m)'!$G$67:$G$68)</f>
        <v/>
      </c>
      <c r="F13" s="9">
        <f>((SUMPRODUCT('Calc - research target (12m)'!$F$67:$F$68,'Calc - research target (12m)'!$G$67:$G$68)-'Calc - research target (12m)'!$F$68*'Calc - research target (12m)'!$G$68)+'Calc - research target (12m)'!$G$68*($A13*(F$12-'Calc - research target (12m)'!$B$54)/'Calc - research target (12m)'!$B$53+'Calc - research target (12m)'!$B$52/'Calc - research target (12m)'!$B$53))/SUM('Calc - research target (12m)'!$G$67:$G$68)</f>
        <v/>
      </c>
    </row>
    <row r="14">
      <c r="A14" s="42">
        <f>Valuation!$B$69+(-2)</f>
        <v/>
      </c>
      <c r="B14" s="9">
        <f>((SUMPRODUCT('Calc - research target (12m)'!$F$67:$F$68,'Calc - research target (12m)'!$G$67:$G$68)-'Calc - research target (12m)'!$F$68*'Calc - research target (12m)'!$G$68)+'Calc - research target (12m)'!$G$68*($A14*(B$12-'Calc - research target (12m)'!$B$54)/'Calc - research target (12m)'!$B$53+'Calc - research target (12m)'!$B$52/'Calc - research target (12m)'!$B$53))/SUM('Calc - research target (12m)'!$G$67:$G$68)</f>
        <v/>
      </c>
      <c r="C14" s="9">
        <f>((SUMPRODUCT('Calc - research target (12m)'!$F$67:$F$68,'Calc - research target (12m)'!$G$67:$G$68)-'Calc - research target (12m)'!$F$68*'Calc - research target (12m)'!$G$68)+'Calc - research target (12m)'!$G$68*($A14*(C$12-'Calc - research target (12m)'!$B$54)/'Calc - research target (12m)'!$B$53+'Calc - research target (12m)'!$B$52/'Calc - research target (12m)'!$B$53))/SUM('Calc - research target (12m)'!$G$67:$G$68)</f>
        <v/>
      </c>
      <c r="D14" s="9">
        <f>((SUMPRODUCT('Calc - research target (12m)'!$F$67:$F$68,'Calc - research target (12m)'!$G$67:$G$68)-'Calc - research target (12m)'!$F$68*'Calc - research target (12m)'!$G$68)+'Calc - research target (12m)'!$G$68*($A14*(D$12-'Calc - research target (12m)'!$B$54)/'Calc - research target (12m)'!$B$53+'Calc - research target (12m)'!$B$52/'Calc - research target (12m)'!$B$53))/SUM('Calc - research target (12m)'!$G$67:$G$68)</f>
        <v/>
      </c>
      <c r="E14" s="9">
        <f>((SUMPRODUCT('Calc - research target (12m)'!$F$67:$F$68,'Calc - research target (12m)'!$G$67:$G$68)-'Calc - research target (12m)'!$F$68*'Calc - research target (12m)'!$G$68)+'Calc - research target (12m)'!$G$68*($A14*(E$12-'Calc - research target (12m)'!$B$54)/'Calc - research target (12m)'!$B$53+'Calc - research target (12m)'!$B$52/'Calc - research target (12m)'!$B$53))/SUM('Calc - research target (12m)'!$G$67:$G$68)</f>
        <v/>
      </c>
      <c r="F14" s="9">
        <f>((SUMPRODUCT('Calc - research target (12m)'!$F$67:$F$68,'Calc - research target (12m)'!$G$67:$G$68)-'Calc - research target (12m)'!$F$68*'Calc - research target (12m)'!$G$68)+'Calc - research target (12m)'!$G$68*($A14*(F$12-'Calc - research target (12m)'!$B$54)/'Calc - research target (12m)'!$B$53+'Calc - research target (12m)'!$B$52/'Calc - research target (12m)'!$B$53))/SUM('Calc - research target (12m)'!$G$67:$G$68)</f>
        <v/>
      </c>
    </row>
    <row r="15">
      <c r="A15" s="42">
        <f>Valuation!$B$69+(-1)</f>
        <v/>
      </c>
      <c r="B15" s="9">
        <f>((SUMPRODUCT('Calc - research target (12m)'!$F$67:$F$68,'Calc - research target (12m)'!$G$67:$G$68)-'Calc - research target (12m)'!$F$68*'Calc - research target (12m)'!$G$68)+'Calc - research target (12m)'!$G$68*($A15*(B$12-'Calc - research target (12m)'!$B$54)/'Calc - research target (12m)'!$B$53+'Calc - research target (12m)'!$B$52/'Calc - research target (12m)'!$B$53))/SUM('Calc - research target (12m)'!$G$67:$G$68)</f>
        <v/>
      </c>
      <c r="C15" s="9">
        <f>((SUMPRODUCT('Calc - research target (12m)'!$F$67:$F$68,'Calc - research target (12m)'!$G$67:$G$68)-'Calc - research target (12m)'!$F$68*'Calc - research target (12m)'!$G$68)+'Calc - research target (12m)'!$G$68*($A15*(C$12-'Calc - research target (12m)'!$B$54)/'Calc - research target (12m)'!$B$53+'Calc - research target (12m)'!$B$52/'Calc - research target (12m)'!$B$53))/SUM('Calc - research target (12m)'!$G$67:$G$68)</f>
        <v/>
      </c>
      <c r="D15" s="9">
        <f>((SUMPRODUCT('Calc - research target (12m)'!$F$67:$F$68,'Calc - research target (12m)'!$G$67:$G$68)-'Calc - research target (12m)'!$F$68*'Calc - research target (12m)'!$G$68)+'Calc - research target (12m)'!$G$68*($A15*(D$12-'Calc - research target (12m)'!$B$54)/'Calc - research target (12m)'!$B$53+'Calc - research target (12m)'!$B$52/'Calc - research target (12m)'!$B$53))/SUM('Calc - research target (12m)'!$G$67:$G$68)</f>
        <v/>
      </c>
      <c r="E15" s="9">
        <f>((SUMPRODUCT('Calc - research target (12m)'!$F$67:$F$68,'Calc - research target (12m)'!$G$67:$G$68)-'Calc - research target (12m)'!$F$68*'Calc - research target (12m)'!$G$68)+'Calc - research target (12m)'!$G$68*($A15*(E$12-'Calc - research target (12m)'!$B$54)/'Calc - research target (12m)'!$B$53+'Calc - research target (12m)'!$B$52/'Calc - research target (12m)'!$B$53))/SUM('Calc - research target (12m)'!$G$67:$G$68)</f>
        <v/>
      </c>
      <c r="F15" s="9">
        <f>((SUMPRODUCT('Calc - research target (12m)'!$F$67:$F$68,'Calc - research target (12m)'!$G$67:$G$68)-'Calc - research target (12m)'!$F$68*'Calc - research target (12m)'!$G$68)+'Calc - research target (12m)'!$G$68*($A15*(F$12-'Calc - research target (12m)'!$B$54)/'Calc - research target (12m)'!$B$53+'Calc - research target (12m)'!$B$52/'Calc - research target (12m)'!$B$53))/SUM('Calc - research target (12m)'!$G$67:$G$68)</f>
        <v/>
      </c>
    </row>
    <row r="16">
      <c r="A16" s="42">
        <f>Valuation!$B$69+(0)</f>
        <v/>
      </c>
      <c r="B16" s="9">
        <f>((SUMPRODUCT('Calc - research target (12m)'!$F$67:$F$68,'Calc - research target (12m)'!$G$67:$G$68)-'Calc - research target (12m)'!$F$68*'Calc - research target (12m)'!$G$68)+'Calc - research target (12m)'!$G$68*($A16*(B$12-'Calc - research target (12m)'!$B$54)/'Calc - research target (12m)'!$B$53+'Calc - research target (12m)'!$B$52/'Calc - research target (12m)'!$B$53))/SUM('Calc - research target (12m)'!$G$67:$G$68)</f>
        <v/>
      </c>
      <c r="C16" s="9">
        <f>((SUMPRODUCT('Calc - research target (12m)'!$F$67:$F$68,'Calc - research target (12m)'!$G$67:$G$68)-'Calc - research target (12m)'!$F$68*'Calc - research target (12m)'!$G$68)+'Calc - research target (12m)'!$G$68*($A16*(C$12-'Calc - research target (12m)'!$B$54)/'Calc - research target (12m)'!$B$53+'Calc - research target (12m)'!$B$52/'Calc - research target (12m)'!$B$53))/SUM('Calc - research target (12m)'!$G$67:$G$68)</f>
        <v/>
      </c>
      <c r="D16" s="6">
        <f>((SUMPRODUCT('Calc - research target (12m)'!$F$67:$F$68,'Calc - research target (12m)'!$G$67:$G$68)-'Calc - research target (12m)'!$F$68*'Calc - research target (12m)'!$G$68)+'Calc - research target (12m)'!$G$68*($A16*(D$12-'Calc - research target (12m)'!$B$54)/'Calc - research target (12m)'!$B$53+'Calc - research target (12m)'!$B$52/'Calc - research target (12m)'!$B$53))/SUM('Calc - research target (12m)'!$G$67:$G$68)</f>
        <v/>
      </c>
      <c r="E16" s="9">
        <f>((SUMPRODUCT('Calc - research target (12m)'!$F$67:$F$68,'Calc - research target (12m)'!$G$67:$G$68)-'Calc - research target (12m)'!$F$68*'Calc - research target (12m)'!$G$68)+'Calc - research target (12m)'!$G$68*($A16*(E$12-'Calc - research target (12m)'!$B$54)/'Calc - research target (12m)'!$B$53+'Calc - research target (12m)'!$B$52/'Calc - research target (12m)'!$B$53))/SUM('Calc - research target (12m)'!$G$67:$G$68)</f>
        <v/>
      </c>
      <c r="F16" s="9">
        <f>((SUMPRODUCT('Calc - research target (12m)'!$F$67:$F$68,'Calc - research target (12m)'!$G$67:$G$68)-'Calc - research target (12m)'!$F$68*'Calc - research target (12m)'!$G$68)+'Calc - research target (12m)'!$G$68*($A16*(F$12-'Calc - research target (12m)'!$B$54)/'Calc - research target (12m)'!$B$53+'Calc - research target (12m)'!$B$52/'Calc - research target (12m)'!$B$53))/SUM('Calc - research target (12m)'!$G$67:$G$68)</f>
        <v/>
      </c>
    </row>
    <row r="17">
      <c r="A17" s="42">
        <f>Valuation!$B$69+(1)</f>
        <v/>
      </c>
      <c r="B17" s="9">
        <f>((SUMPRODUCT('Calc - research target (12m)'!$F$67:$F$68,'Calc - research target (12m)'!$G$67:$G$68)-'Calc - research target (12m)'!$F$68*'Calc - research target (12m)'!$G$68)+'Calc - research target (12m)'!$G$68*($A17*(B$12-'Calc - research target (12m)'!$B$54)/'Calc - research target (12m)'!$B$53+'Calc - research target (12m)'!$B$52/'Calc - research target (12m)'!$B$53))/SUM('Calc - research target (12m)'!$G$67:$G$68)</f>
        <v/>
      </c>
      <c r="C17" s="9">
        <f>((SUMPRODUCT('Calc - research target (12m)'!$F$67:$F$68,'Calc - research target (12m)'!$G$67:$G$68)-'Calc - research target (12m)'!$F$68*'Calc - research target (12m)'!$G$68)+'Calc - research target (12m)'!$G$68*($A17*(C$12-'Calc - research target (12m)'!$B$54)/'Calc - research target (12m)'!$B$53+'Calc - research target (12m)'!$B$52/'Calc - research target (12m)'!$B$53))/SUM('Calc - research target (12m)'!$G$67:$G$68)</f>
        <v/>
      </c>
      <c r="D17" s="9">
        <f>((SUMPRODUCT('Calc - research target (12m)'!$F$67:$F$68,'Calc - research target (12m)'!$G$67:$G$68)-'Calc - research target (12m)'!$F$68*'Calc - research target (12m)'!$G$68)+'Calc - research target (12m)'!$G$68*($A17*(D$12-'Calc - research target (12m)'!$B$54)/'Calc - research target (12m)'!$B$53+'Calc - research target (12m)'!$B$52/'Calc - research target (12m)'!$B$53))/SUM('Calc - research target (12m)'!$G$67:$G$68)</f>
        <v/>
      </c>
      <c r="E17" s="9">
        <f>((SUMPRODUCT('Calc - research target (12m)'!$F$67:$F$68,'Calc - research target (12m)'!$G$67:$G$68)-'Calc - research target (12m)'!$F$68*'Calc - research target (12m)'!$G$68)+'Calc - research target (12m)'!$G$68*($A17*(E$12-'Calc - research target (12m)'!$B$54)/'Calc - research target (12m)'!$B$53+'Calc - research target (12m)'!$B$52/'Calc - research target (12m)'!$B$53))/SUM('Calc - research target (12m)'!$G$67:$G$68)</f>
        <v/>
      </c>
      <c r="F17" s="9">
        <f>((SUMPRODUCT('Calc - research target (12m)'!$F$67:$F$68,'Calc - research target (12m)'!$G$67:$G$68)-'Calc - research target (12m)'!$F$68*'Calc - research target (12m)'!$G$68)+'Calc - research target (12m)'!$G$68*($A17*(F$12-'Calc - research target (12m)'!$B$54)/'Calc - research target (12m)'!$B$53+'Calc - research target (12m)'!$B$52/'Calc - research target (12m)'!$B$53))/SUM('Calc - research target (12m)'!$G$67:$G$68)</f>
        <v/>
      </c>
    </row>
    <row r="18">
      <c r="A18" s="42">
        <f>Valuation!$B$69+(2)</f>
        <v/>
      </c>
      <c r="B18" s="9">
        <f>((SUMPRODUCT('Calc - research target (12m)'!$F$67:$F$68,'Calc - research target (12m)'!$G$67:$G$68)-'Calc - research target (12m)'!$F$68*'Calc - research target (12m)'!$G$68)+'Calc - research target (12m)'!$G$68*($A18*(B$12-'Calc - research target (12m)'!$B$54)/'Calc - research target (12m)'!$B$53+'Calc - research target (12m)'!$B$52/'Calc - research target (12m)'!$B$53))/SUM('Calc - research target (12m)'!$G$67:$G$68)</f>
        <v/>
      </c>
      <c r="C18" s="9">
        <f>((SUMPRODUCT('Calc - research target (12m)'!$F$67:$F$68,'Calc - research target (12m)'!$G$67:$G$68)-'Calc - research target (12m)'!$F$68*'Calc - research target (12m)'!$G$68)+'Calc - research target (12m)'!$G$68*($A18*(C$12-'Calc - research target (12m)'!$B$54)/'Calc - research target (12m)'!$B$53+'Calc - research target (12m)'!$B$52/'Calc - research target (12m)'!$B$53))/SUM('Calc - research target (12m)'!$G$67:$G$68)</f>
        <v/>
      </c>
      <c r="D18" s="9">
        <f>((SUMPRODUCT('Calc - research target (12m)'!$F$67:$F$68,'Calc - research target (12m)'!$G$67:$G$68)-'Calc - research target (12m)'!$F$68*'Calc - research target (12m)'!$G$68)+'Calc - research target (12m)'!$G$68*($A18*(D$12-'Calc - research target (12m)'!$B$54)/'Calc - research target (12m)'!$B$53+'Calc - research target (12m)'!$B$52/'Calc - research target (12m)'!$B$53))/SUM('Calc - research target (12m)'!$G$67:$G$68)</f>
        <v/>
      </c>
      <c r="E18" s="9">
        <f>((SUMPRODUCT('Calc - research target (12m)'!$F$67:$F$68,'Calc - research target (12m)'!$G$67:$G$68)-'Calc - research target (12m)'!$F$68*'Calc - research target (12m)'!$G$68)+'Calc - research target (12m)'!$G$68*($A18*(E$12-'Calc - research target (12m)'!$B$54)/'Calc - research target (12m)'!$B$53+'Calc - research target (12m)'!$B$52/'Calc - research target (12m)'!$B$53))/SUM('Calc - research target (12m)'!$G$67:$G$68)</f>
        <v/>
      </c>
      <c r="F18" s="9">
        <f>((SUMPRODUCT('Calc - research target (12m)'!$F$67:$F$68,'Calc - research target (12m)'!$G$67:$G$68)-'Calc - research target (12m)'!$F$68*'Calc - research target (12m)'!$G$68)+'Calc - research target (12m)'!$G$68*($A18*(F$12-'Calc - research target (12m)'!$B$54)/'Calc - research target (12m)'!$B$53+'Calc - research target (12m)'!$B$52/'Calc - research target (12m)'!$B$53))/SUM('Calc - research target (12m)'!$G$67:$G$68)</f>
        <v/>
      </c>
    </row>
    <row r="19">
      <c r="A19" s="42">
        <f>Valuation!$B$69+(3)</f>
        <v/>
      </c>
      <c r="B19" s="9">
        <f>((SUMPRODUCT('Calc - research target (12m)'!$F$67:$F$68,'Calc - research target (12m)'!$G$67:$G$68)-'Calc - research target (12m)'!$F$68*'Calc - research target (12m)'!$G$68)+'Calc - research target (12m)'!$G$68*($A19*(B$12-'Calc - research target (12m)'!$B$54)/'Calc - research target (12m)'!$B$53+'Calc - research target (12m)'!$B$52/'Calc - research target (12m)'!$B$53))/SUM('Calc - research target (12m)'!$G$67:$G$68)</f>
        <v/>
      </c>
      <c r="C19" s="9">
        <f>((SUMPRODUCT('Calc - research target (12m)'!$F$67:$F$68,'Calc - research target (12m)'!$G$67:$G$68)-'Calc - research target (12m)'!$F$68*'Calc - research target (12m)'!$G$68)+'Calc - research target (12m)'!$G$68*($A19*(C$12-'Calc - research target (12m)'!$B$54)/'Calc - research target (12m)'!$B$53+'Calc - research target (12m)'!$B$52/'Calc - research target (12m)'!$B$53))/SUM('Calc - research target (12m)'!$G$67:$G$68)</f>
        <v/>
      </c>
      <c r="D19" s="9">
        <f>((SUMPRODUCT('Calc - research target (12m)'!$F$67:$F$68,'Calc - research target (12m)'!$G$67:$G$68)-'Calc - research target (12m)'!$F$68*'Calc - research target (12m)'!$G$68)+'Calc - research target (12m)'!$G$68*($A19*(D$12-'Calc - research target (12m)'!$B$54)/'Calc - research target (12m)'!$B$53+'Calc - research target (12m)'!$B$52/'Calc - research target (12m)'!$B$53))/SUM('Calc - research target (12m)'!$G$67:$G$68)</f>
        <v/>
      </c>
      <c r="E19" s="9">
        <f>((SUMPRODUCT('Calc - research target (12m)'!$F$67:$F$68,'Calc - research target (12m)'!$G$67:$G$68)-'Calc - research target (12m)'!$F$68*'Calc - research target (12m)'!$G$68)+'Calc - research target (12m)'!$G$68*($A19*(E$12-'Calc - research target (12m)'!$B$54)/'Calc - research target (12m)'!$B$53+'Calc - research target (12m)'!$B$52/'Calc - research target (12m)'!$B$53))/SUM('Calc - research target (12m)'!$G$67:$G$68)</f>
        <v/>
      </c>
      <c r="F19" s="9">
        <f>((SUMPRODUCT('Calc - research target (12m)'!$F$67:$F$68,'Calc - research target (12m)'!$G$67:$G$68)-'Calc - research target (12m)'!$F$68*'Calc - research target (12m)'!$G$68)+'Calc - research target (12m)'!$G$68*($A19*(F$12-'Calc - research target (12m)'!$B$54)/'Calc - research target (12m)'!$B$53+'Calc - research target (12m)'!$B$52/'Calc - research target (12m)'!$B$53))/SUM('Calc - research target (12m)'!$G$67:$G$68)</f>
        <v/>
      </c>
    </row>
    <row r="22">
      <c r="A22" s="19" t="inlineStr">
        <is>
          <t>FY2027E diluted EPS: revenue growth change in every year (down) x EBIT margin change (across)</t>
        </is>
      </c>
    </row>
    <row r="23">
      <c r="A23" s="19" t="inlineStr">
        <is>
          <t>Growth Δ \ margin Δ</t>
        </is>
      </c>
      <c r="B23" s="43" t="n">
        <v>-0.01</v>
      </c>
      <c r="C23" s="43" t="n">
        <v>-0.005</v>
      </c>
      <c r="D23" s="43" t="n">
        <v>0</v>
      </c>
      <c r="E23" s="43" t="n">
        <v>0.005</v>
      </c>
      <c r="F23" s="43" t="n">
        <v>0.01</v>
      </c>
    </row>
    <row r="24">
      <c r="A24" s="43" t="n">
        <v>-0.02</v>
      </c>
      <c r="B24" s="27">
        <f>(Valuation!$B$49*(1+Model!E48+$A24)*(1+Model!F48+$A24)*(Model!F49+B$23)+Model!F20)*(1-Model!F50)/Model!F27</f>
        <v/>
      </c>
      <c r="C24" s="27">
        <f>(Valuation!$B$49*(1+Model!E48+$A24)*(1+Model!F48+$A24)*(Model!F49+C$23)+Model!F20)*(1-Model!F50)/Model!F27</f>
        <v/>
      </c>
      <c r="D24" s="27">
        <f>(Valuation!$B$49*(1+Model!E48+$A24)*(1+Model!F48+$A24)*(Model!F49+D$23)+Model!F20)*(1-Model!F50)/Model!F27</f>
        <v/>
      </c>
      <c r="E24" s="27">
        <f>(Valuation!$B$49*(1+Model!E48+$A24)*(1+Model!F48+$A24)*(Model!F49+E$23)+Model!F20)*(1-Model!F50)/Model!F27</f>
        <v/>
      </c>
      <c r="F24" s="27">
        <f>(Valuation!$B$49*(1+Model!E48+$A24)*(1+Model!F48+$A24)*(Model!F49+F$23)+Model!F20)*(1-Model!F50)/Model!F27</f>
        <v/>
      </c>
    </row>
    <row r="25">
      <c r="A25" s="43" t="n">
        <v>-0.01</v>
      </c>
      <c r="B25" s="27">
        <f>(Valuation!$B$49*(1+Model!E48+$A25)*(1+Model!F48+$A25)*(Model!F49+B$23)+Model!F20)*(1-Model!F50)/Model!F27</f>
        <v/>
      </c>
      <c r="C25" s="27">
        <f>(Valuation!$B$49*(1+Model!E48+$A25)*(1+Model!F48+$A25)*(Model!F49+C$23)+Model!F20)*(1-Model!F50)/Model!F27</f>
        <v/>
      </c>
      <c r="D25" s="27">
        <f>(Valuation!$B$49*(1+Model!E48+$A25)*(1+Model!F48+$A25)*(Model!F49+D$23)+Model!F20)*(1-Model!F50)/Model!F27</f>
        <v/>
      </c>
      <c r="E25" s="27">
        <f>(Valuation!$B$49*(1+Model!E48+$A25)*(1+Model!F48+$A25)*(Model!F49+E$23)+Model!F20)*(1-Model!F50)/Model!F27</f>
        <v/>
      </c>
      <c r="F25" s="27">
        <f>(Valuation!$B$49*(1+Model!E48+$A25)*(1+Model!F48+$A25)*(Model!F49+F$23)+Model!F20)*(1-Model!F50)/Model!F27</f>
        <v/>
      </c>
    </row>
    <row r="26">
      <c r="A26" s="43" t="n">
        <v>0</v>
      </c>
      <c r="B26" s="27">
        <f>(Valuation!$B$49*(1+Model!E48+$A26)*(1+Model!F48+$A26)*(Model!F49+B$23)+Model!F20)*(1-Model!F50)/Model!F27</f>
        <v/>
      </c>
      <c r="C26" s="27">
        <f>(Valuation!$B$49*(1+Model!E48+$A26)*(1+Model!F48+$A26)*(Model!F49+C$23)+Model!F20)*(1-Model!F50)/Model!F27</f>
        <v/>
      </c>
      <c r="D26" s="28">
        <f>(Valuation!$B$49*(1+Model!E48+$A26)*(1+Model!F48+$A26)*(Model!F49+D$23)+Model!F20)*(1-Model!F50)/Model!F27</f>
        <v/>
      </c>
      <c r="E26" s="27">
        <f>(Valuation!$B$49*(1+Model!E48+$A26)*(1+Model!F48+$A26)*(Model!F49+E$23)+Model!F20)*(1-Model!F50)/Model!F27</f>
        <v/>
      </c>
      <c r="F26" s="27">
        <f>(Valuation!$B$49*(1+Model!E48+$A26)*(1+Model!F48+$A26)*(Model!F49+F$23)+Model!F20)*(1-Model!F50)/Model!F27</f>
        <v/>
      </c>
    </row>
    <row r="27">
      <c r="A27" s="43" t="n">
        <v>0.01</v>
      </c>
      <c r="B27" s="27">
        <f>(Valuation!$B$49*(1+Model!E48+$A27)*(1+Model!F48+$A27)*(Model!F49+B$23)+Model!F20)*(1-Model!F50)/Model!F27</f>
        <v/>
      </c>
      <c r="C27" s="27">
        <f>(Valuation!$B$49*(1+Model!E48+$A27)*(1+Model!F48+$A27)*(Model!F49+C$23)+Model!F20)*(1-Model!F50)/Model!F27</f>
        <v/>
      </c>
      <c r="D27" s="27">
        <f>(Valuation!$B$49*(1+Model!E48+$A27)*(1+Model!F48+$A27)*(Model!F49+D$23)+Model!F20)*(1-Model!F50)/Model!F27</f>
        <v/>
      </c>
      <c r="E27" s="27">
        <f>(Valuation!$B$49*(1+Model!E48+$A27)*(1+Model!F48+$A27)*(Model!F49+E$23)+Model!F20)*(1-Model!F50)/Model!F27</f>
        <v/>
      </c>
      <c r="F27" s="27">
        <f>(Valuation!$B$49*(1+Model!E48+$A27)*(1+Model!F48+$A27)*(Model!F49+F$23)+Model!F20)*(1-Model!F50)/Model!F27</f>
        <v/>
      </c>
    </row>
    <row r="28">
      <c r="A28" s="43" t="n">
        <v>0.02</v>
      </c>
      <c r="B28" s="27">
        <f>(Valuation!$B$49*(1+Model!E48+$A28)*(1+Model!F48+$A28)*(Model!F49+B$23)+Model!F20)*(1-Model!F50)/Model!F27</f>
        <v/>
      </c>
      <c r="C28" s="27">
        <f>(Valuation!$B$49*(1+Model!E48+$A28)*(1+Model!F48+$A28)*(Model!F49+C$23)+Model!F20)*(1-Model!F50)/Model!F27</f>
        <v/>
      </c>
      <c r="D28" s="27">
        <f>(Valuation!$B$49*(1+Model!E48+$A28)*(1+Model!F48+$A28)*(Model!F49+D$23)+Model!F20)*(1-Model!F50)/Model!F27</f>
        <v/>
      </c>
      <c r="E28" s="27">
        <f>(Valuation!$B$49*(1+Model!E48+$A28)*(1+Model!F48+$A28)*(Model!F49+E$23)+Model!F20)*(1-Model!F50)/Model!F27</f>
        <v/>
      </c>
      <c r="F28" s="27">
        <f>(Valuation!$B$49*(1+Model!E48+$A28)*(1+Model!F48+$A28)*(Model!F49+F$23)+Model!F20)*(1-Model!F50)/Model!F27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NFLX: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Valuation!B81</f>
        <v/>
      </c>
      <c r="C4" s="4">
        <f>'Calc - bear'!$F$69</f>
        <v/>
      </c>
      <c r="D4">
        <f>Valuation!J81</f>
        <v/>
      </c>
    </row>
    <row r="5">
      <c r="A5" t="inlineStr">
        <is>
          <t>base</t>
        </is>
      </c>
      <c r="B5" s="12">
        <f>Valuation!B82</f>
        <v/>
      </c>
      <c r="C5" s="4">
        <f>'Calc - base'!$F$69</f>
        <v/>
      </c>
      <c r="D5">
        <f>Valuation!J82</f>
        <v/>
      </c>
    </row>
    <row r="6">
      <c r="A6" t="inlineStr">
        <is>
          <t>bull</t>
        </is>
      </c>
      <c r="B6" s="12">
        <f>Valuation!B83</f>
        <v/>
      </c>
      <c r="C6" s="4">
        <f>'Calc - bull'!$F$69</f>
        <v/>
      </c>
      <c r="D6">
        <f>Valuation!J83</f>
        <v/>
      </c>
    </row>
    <row r="8">
      <c r="A8" t="inlineStr">
        <is>
          <t>Probabilities sum to</t>
        </is>
      </c>
      <c r="B8" s="18">
        <f>SUM(B4:B6)</f>
        <v/>
      </c>
    </row>
    <row r="9">
      <c r="A9" t="inlineStr">
        <is>
          <t>Spread within each scenario</t>
        </is>
      </c>
      <c r="B9" s="12">
        <f>Valuation!$B$65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4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4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4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4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4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4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4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4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4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4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4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4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4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4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4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4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4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4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4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4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4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4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4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4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4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4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4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4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4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4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4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4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4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4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4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4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4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4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4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4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4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4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4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4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4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4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4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4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4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4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4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4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4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4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4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4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4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4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4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4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4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4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4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4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4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4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4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4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4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4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4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4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4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4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4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4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4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4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4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4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4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4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4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4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4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4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4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4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4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4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4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4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4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4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4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4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4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4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4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4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4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4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4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4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4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4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4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4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4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4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4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4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4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4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4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4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4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4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4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4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4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4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4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4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4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4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4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4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4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4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4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4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4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4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4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4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4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4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4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4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4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4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4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4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4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4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4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4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4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4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4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4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4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4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4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4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4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4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4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4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4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4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4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4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4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4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4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4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4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4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4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4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4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4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4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4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4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4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4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4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4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4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4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4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4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4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4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4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4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4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4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4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4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4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4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4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4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4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4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4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NFLX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8" t="n">
        <v>0</v>
      </c>
    </row>
    <row r="5">
      <c r="A5" t="inlineStr">
        <is>
          <t>Scenario Margin Δ</t>
        </is>
      </c>
      <c r="B5" s="18" t="n">
        <v>0</v>
      </c>
    </row>
    <row r="6">
      <c r="A6" t="inlineStr">
        <is>
          <t>Scenario Multiple Δ (turns)</t>
        </is>
      </c>
      <c r="B6" s="45" t="n">
        <v>0</v>
      </c>
    </row>
    <row r="7">
      <c r="A7" t="inlineStr">
        <is>
          <t>Scenario WACC Δ</t>
        </is>
      </c>
      <c r="B7" s="18" t="n">
        <v>0</v>
      </c>
    </row>
    <row r="8">
      <c r="A8" t="inlineStr">
        <is>
          <t>Scenario Multiple %Δ</t>
        </is>
      </c>
      <c r="B8" s="18" t="n">
        <v>0</v>
      </c>
    </row>
    <row r="9">
      <c r="A9" t="inlineStr">
        <is>
          <t>Scenario Stated EPS/FCF %Δ</t>
        </is>
      </c>
      <c r="B9" s="18" t="n">
        <v>0</v>
      </c>
    </row>
    <row r="10">
      <c r="A10" t="inlineStr">
        <is>
          <t>Scenario Custom %Δ</t>
        </is>
      </c>
      <c r="B10" s="18" t="n">
        <v>0</v>
      </c>
    </row>
    <row r="12">
      <c r="A12" t="inlineStr">
        <is>
          <t>WACC</t>
        </is>
      </c>
      <c r="B12" s="18">
        <f>Valuation!$B$50+B7</f>
        <v/>
      </c>
    </row>
    <row r="13">
      <c r="A13" t="inlineStr">
        <is>
          <t>Years from last FY end to target date</t>
        </is>
      </c>
      <c r="B13" s="46">
        <f>(Valuation!$B$44-Valuation!$B$48)/365.25</f>
        <v/>
      </c>
    </row>
    <row r="14">
      <c r="A14" t="inlineStr">
        <is>
          <t>Years from last FY end to balance date</t>
        </is>
      </c>
      <c r="B14" s="46">
        <f>(Valuation!$B$54-Valuation!$B$48)/365.25</f>
        <v/>
      </c>
    </row>
    <row r="15">
      <c r="A15" t="inlineStr">
        <is>
          <t>Years from last FY end to share count date</t>
        </is>
      </c>
      <c r="B15" s="46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Valuation!$B$48+ROUND(365.25*C19,0)</f>
        <v/>
      </c>
      <c r="D20" s="20">
        <f>Valuation!$B$48+ROUND(365.25*D19,0)</f>
        <v/>
      </c>
      <c r="E20" s="20">
        <f>Valuation!$B$48+ROUND(365.25*E19,0)</f>
        <v/>
      </c>
    </row>
    <row r="21">
      <c r="A21" t="inlineStr">
        <is>
          <t>Revenue growth</t>
        </is>
      </c>
      <c r="C21" s="18">
        <f>Model!E48+$B$4</f>
        <v/>
      </c>
      <c r="D21" s="18">
        <f>Model!F48+$B$4</f>
        <v/>
      </c>
      <c r="E21" s="18">
        <f>Model!G48+$B$4</f>
        <v/>
      </c>
    </row>
    <row r="22">
      <c r="A22" t="inlineStr">
        <is>
          <t>Revenue</t>
        </is>
      </c>
      <c r="B22" s="23">
        <f>Valuation!$B$49</f>
        <v/>
      </c>
      <c r="C22" s="23">
        <f>B22*(1+C21)</f>
        <v/>
      </c>
      <c r="D22" s="23">
        <f>C22*(1+D21)</f>
        <v/>
      </c>
      <c r="E22" s="23">
        <f>D22*(1+E21)</f>
        <v/>
      </c>
    </row>
    <row r="23">
      <c r="A23" t="inlineStr">
        <is>
          <t>EBIT margin</t>
        </is>
      </c>
      <c r="C23" s="18">
        <f>Model!E49+$B$5</f>
        <v/>
      </c>
      <c r="D23" s="18">
        <f>Model!F49+$B$5</f>
        <v/>
      </c>
      <c r="E23" s="18">
        <f>Model!G49+$B$5</f>
        <v/>
      </c>
    </row>
    <row r="24">
      <c r="A24" t="inlineStr">
        <is>
          <t>EBIT</t>
        </is>
      </c>
      <c r="C24" s="23">
        <f>C22*C23</f>
        <v/>
      </c>
      <c r="D24" s="23">
        <f>D22*D23</f>
        <v/>
      </c>
      <c r="E24" s="23">
        <f>E22*E23</f>
        <v/>
      </c>
    </row>
    <row r="25">
      <c r="A25" t="inlineStr">
        <is>
          <t>Tax rate</t>
        </is>
      </c>
      <c r="C25" s="18">
        <f>Model!E50</f>
        <v/>
      </c>
      <c r="D25" s="18">
        <f>Model!F50</f>
        <v/>
      </c>
      <c r="E25" s="18">
        <f>Model!G50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C22*(Model!E51)</f>
        <v/>
      </c>
      <c r="D27" s="23">
        <f>D22*(Model!F51)</f>
        <v/>
      </c>
      <c r="E27" s="23">
        <f>E22*(Model!G51)</f>
        <v/>
      </c>
    </row>
    <row r="28">
      <c r="A28" t="inlineStr">
        <is>
          <t>Capex</t>
        </is>
      </c>
      <c r="C28" s="23">
        <f>C22*(Model!E52)</f>
        <v/>
      </c>
      <c r="D28" s="23">
        <f>D22*(Model!F52)</f>
        <v/>
      </c>
      <c r="E28" s="23">
        <f>E22*(Model!G52)</f>
        <v/>
      </c>
    </row>
    <row r="29">
      <c r="A29" t="inlineStr">
        <is>
          <t>Working capital increase</t>
        </is>
      </c>
      <c r="C29" s="23">
        <f>(Model!E53)*(C22-B22)</f>
        <v/>
      </c>
      <c r="D29" s="23">
        <f>(Model!F53)*(D22-C22)</f>
        <v/>
      </c>
      <c r="E29" s="23">
        <f>(Model!G53)*(E22-D22)</f>
        <v/>
      </c>
    </row>
    <row r="30">
      <c r="A30" t="inlineStr">
        <is>
          <t>Stock comp</t>
        </is>
      </c>
      <c r="C30" s="23">
        <f>C22*(Model!E54)</f>
        <v/>
      </c>
      <c r="D30" s="23">
        <f>D22*(Model!F54)</f>
        <v/>
      </c>
      <c r="E30" s="23">
        <f>E22*(Model!G54)</f>
        <v/>
      </c>
    </row>
    <row r="31">
      <c r="A31" t="inlineStr">
        <is>
          <t>Free cash flow to firm</t>
        </is>
      </c>
      <c r="C31" s="23">
        <f>C26+C27-C28-C29-IF(AND(Valuation!$B$46="adjusted",Valuation!$B$47="cost"),C30*(1-C25),0)</f>
        <v/>
      </c>
      <c r="D31" s="23">
        <f>D26+D27-D28-D29-IF(AND(Valuation!$B$46="adjusted",Valuation!$B$47="cost"),D30*(1-D25),0)</f>
        <v/>
      </c>
      <c r="E31" s="23">
        <f>E26+E27-E28-E29-IF(AND(Valuation!$B$46="adjusted",Valuation!$B$47="cost"),E30*(1-E25),0)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C24+C27+C22*(Model!E58)</f>
        <v/>
      </c>
      <c r="D33" s="23">
        <f>D24+D27+D22*(Model!F58)</f>
        <v/>
      </c>
      <c r="E33" s="23">
        <f>E24+E27+E22*(Model!G58)</f>
        <v/>
      </c>
    </row>
    <row r="34">
      <c r="A34" t="inlineStr">
        <is>
          <t>Shareholder returns + other uses</t>
        </is>
      </c>
      <c r="C34" s="23">
        <f>C22*Model!E56+Model!E55+Model!E57</f>
        <v/>
      </c>
      <c r="D34" s="23">
        <f>D22*Model!F56+Model!F55+Model!F57</f>
        <v/>
      </c>
      <c r="E34" s="23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Valuation!$B$57*(1-$C$25)*MAX(Valuation!$B$55,0)*MAX($B$13-$B$14,0)</f>
        <v/>
      </c>
    </row>
    <row r="50">
      <c r="A50" t="inlineStr">
        <is>
          <t>Net debt at target date</t>
        </is>
      </c>
      <c r="B50" s="23">
        <f>IF(Valuation!$B$58="",Valuation!$B$55-B47+B49+B48,Valuation!$B$58)</f>
        <v/>
      </c>
    </row>
    <row r="51">
      <c r="A51" t="inlineStr">
        <is>
          <t>Minority interests</t>
        </is>
      </c>
      <c r="B51" s="23">
        <f>Valuation!$B$56</f>
        <v/>
      </c>
    </row>
    <row r="52">
      <c r="A52" t="inlineStr">
        <is>
          <t>Adjustments (probability-weighted)</t>
        </is>
      </c>
      <c r="B52" s="23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3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8">
        <f>Valuation!C69</f>
        <v/>
      </c>
      <c r="H68">
        <f>IF(B68="EV/sales",1,IF(B68="EV/EBIT",2,IF(B68="EV/EBITDA",IF(Valuation!E69="adjusted",4,3),IF(B68="P/E",5,6))))</f>
        <v/>
      </c>
      <c r="I68" s="47">
        <f>IF(AND(B68="P/E",Valuation!F69&lt;&gt;""),(Valuation!F69)*(1+$B$9),IF(AND(B68="FCF yield",Valuation!G69&lt;&gt;""),(Valuation!G69)*(1+$B$9),E68))</f>
        <v/>
      </c>
    </row>
    <row r="69">
      <c r="A69" s="19" t="inlineStr">
        <is>
          <t>Value per share at target date (weighted methods)</t>
        </is>
      </c>
      <c r="F69" s="6">
        <f>SUMPRODUCT(F67:F68,G67:G68)/SUM(G67:G68)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8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NFLX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N(Valuation!C81)</f>
        <v/>
      </c>
    </row>
    <row r="5">
      <c r="A5" t="inlineStr">
        <is>
          <t>Scenario Margin Δ</t>
        </is>
      </c>
      <c r="B5" s="12">
        <f>N(Valuation!D81)</f>
        <v/>
      </c>
    </row>
    <row r="6">
      <c r="A6" t="inlineStr">
        <is>
          <t>Scenario Multiple Δ (turns)</t>
        </is>
      </c>
      <c r="B6" s="48">
        <f>N(Valuation!E81)</f>
        <v/>
      </c>
    </row>
    <row r="7">
      <c r="A7" t="inlineStr">
        <is>
          <t>Scenario WACC Δ</t>
        </is>
      </c>
      <c r="B7" s="12">
        <f>N(Valuation!F81)</f>
        <v/>
      </c>
    </row>
    <row r="8">
      <c r="A8" t="inlineStr">
        <is>
          <t>Scenario Multiple %Δ</t>
        </is>
      </c>
      <c r="B8" s="12">
        <f>N(Valuation!G81)</f>
        <v/>
      </c>
    </row>
    <row r="9">
      <c r="A9" t="inlineStr">
        <is>
          <t>Scenario Stated EPS/FCF %Δ</t>
        </is>
      </c>
      <c r="B9" s="12">
        <f>N(Valuation!H81)</f>
        <v/>
      </c>
    </row>
    <row r="10">
      <c r="A10" t="inlineStr">
        <is>
          <t>Scenario Custom %Δ</t>
        </is>
      </c>
      <c r="B10" s="12">
        <f>N(Valuation!I81)</f>
        <v/>
      </c>
    </row>
    <row r="12">
      <c r="A12" t="inlineStr">
        <is>
          <t>WACC</t>
        </is>
      </c>
      <c r="B12" s="18">
        <f>Valuation!$B$50+B7</f>
        <v/>
      </c>
    </row>
    <row r="13">
      <c r="A13" t="inlineStr">
        <is>
          <t>Years from last FY end to target date</t>
        </is>
      </c>
      <c r="B13" s="46">
        <f>(Valuation!$B$44-Valuation!$B$48)/365.25</f>
        <v/>
      </c>
    </row>
    <row r="14">
      <c r="A14" t="inlineStr">
        <is>
          <t>Years from last FY end to balance date</t>
        </is>
      </c>
      <c r="B14" s="46">
        <f>(Valuation!$B$54-Valuation!$B$48)/365.25</f>
        <v/>
      </c>
    </row>
    <row r="15">
      <c r="A15" t="inlineStr">
        <is>
          <t>Years from last FY end to share count date</t>
        </is>
      </c>
      <c r="B15" s="46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Valuation!$B$48+ROUND(365.25*C19,0)</f>
        <v/>
      </c>
      <c r="D20" s="20">
        <f>Valuation!$B$48+ROUND(365.25*D19,0)</f>
        <v/>
      </c>
      <c r="E20" s="20">
        <f>Valuation!$B$48+ROUND(365.25*E19,0)</f>
        <v/>
      </c>
    </row>
    <row r="21">
      <c r="A21" t="inlineStr">
        <is>
          <t>Revenue growth</t>
        </is>
      </c>
      <c r="C21" s="18">
        <f>Model!E48+$B$4+$B$250</f>
        <v/>
      </c>
      <c r="D21" s="18">
        <f>Model!F48+$B$4+$B$253</f>
        <v/>
      </c>
      <c r="E21" s="18">
        <f>Model!G48+$B$4+$B$256</f>
        <v/>
      </c>
    </row>
    <row r="22">
      <c r="A22" t="inlineStr">
        <is>
          <t>Revenue</t>
        </is>
      </c>
      <c r="B22" s="23">
        <f>Valuation!$B$49</f>
        <v/>
      </c>
      <c r="C22" s="23">
        <f>B22*(1+C21)</f>
        <v/>
      </c>
      <c r="D22" s="23">
        <f>C22*(1+D21)</f>
        <v/>
      </c>
      <c r="E22" s="23">
        <f>D22*(1+E21)</f>
        <v/>
      </c>
    </row>
    <row r="23">
      <c r="A23" t="inlineStr">
        <is>
          <t>EBIT margin</t>
        </is>
      </c>
      <c r="C23" s="18">
        <f>Model!E49+$B$5+$B$251</f>
        <v/>
      </c>
      <c r="D23" s="18">
        <f>Model!F49+$B$5+$B$254</f>
        <v/>
      </c>
      <c r="E23" s="18">
        <f>Model!G49+$B$5+$B$257</f>
        <v/>
      </c>
    </row>
    <row r="24">
      <c r="A24" t="inlineStr">
        <is>
          <t>EBIT</t>
        </is>
      </c>
      <c r="C24" s="23">
        <f>C22*C23</f>
        <v/>
      </c>
      <c r="D24" s="23">
        <f>D22*D23</f>
        <v/>
      </c>
      <c r="E24" s="23">
        <f>E22*E23</f>
        <v/>
      </c>
    </row>
    <row r="25">
      <c r="A25" t="inlineStr">
        <is>
          <t>Tax rate</t>
        </is>
      </c>
      <c r="C25" s="18">
        <f>Model!E50</f>
        <v/>
      </c>
      <c r="D25" s="18">
        <f>Model!F50</f>
        <v/>
      </c>
      <c r="E25" s="18">
        <f>Model!G50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C22*(Model!E51)</f>
        <v/>
      </c>
      <c r="D27" s="23">
        <f>D22*(Model!F51)</f>
        <v/>
      </c>
      <c r="E27" s="23">
        <f>E22*(Model!G51)</f>
        <v/>
      </c>
    </row>
    <row r="28">
      <c r="A28" t="inlineStr">
        <is>
          <t>Capex</t>
        </is>
      </c>
      <c r="C28" s="23">
        <f>C22*(Model!E52+$B$252)</f>
        <v/>
      </c>
      <c r="D28" s="23">
        <f>D22*(Model!F52+$B$255)</f>
        <v/>
      </c>
      <c r="E28" s="23">
        <f>E22*(Model!G52+$B$258)</f>
        <v/>
      </c>
    </row>
    <row r="29">
      <c r="A29" t="inlineStr">
        <is>
          <t>Working capital increase</t>
        </is>
      </c>
      <c r="C29" s="23">
        <f>(Model!E53)*(C22-B22)</f>
        <v/>
      </c>
      <c r="D29" s="23">
        <f>(Model!F53)*(D22-C22)</f>
        <v/>
      </c>
      <c r="E29" s="23">
        <f>(Model!G53)*(E22-D22)</f>
        <v/>
      </c>
    </row>
    <row r="30">
      <c r="A30" t="inlineStr">
        <is>
          <t>Stock comp</t>
        </is>
      </c>
      <c r="C30" s="23">
        <f>C22*(Model!E54)</f>
        <v/>
      </c>
      <c r="D30" s="23">
        <f>D22*(Model!F54)</f>
        <v/>
      </c>
      <c r="E30" s="23">
        <f>E22*(Model!G54)</f>
        <v/>
      </c>
    </row>
    <row r="31">
      <c r="A31" t="inlineStr">
        <is>
          <t>Free cash flow to firm</t>
        </is>
      </c>
      <c r="C31" s="23">
        <f>C26+C27-C28-C29-IF(AND(Valuation!$B$46="adjusted",Valuation!$B$47="cost"),C30*(1-C25),0)</f>
        <v/>
      </c>
      <c r="D31" s="23">
        <f>D26+D27-D28-D29-IF(AND(Valuation!$B$46="adjusted",Valuation!$B$47="cost"),D30*(1-D25),0)</f>
        <v/>
      </c>
      <c r="E31" s="23">
        <f>E26+E27-E28-E29-IF(AND(Valuation!$B$46="adjusted",Valuation!$B$47="cost"),E30*(1-E25),0)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C24+C27+C22*(Model!E58)</f>
        <v/>
      </c>
      <c r="D33" s="23">
        <f>D24+D27+D22*(Model!F58)</f>
        <v/>
      </c>
      <c r="E33" s="23">
        <f>E24+E27+E22*(Model!G58)</f>
        <v/>
      </c>
    </row>
    <row r="34">
      <c r="A34" t="inlineStr">
        <is>
          <t>Shareholder returns + other uses</t>
        </is>
      </c>
      <c r="C34" s="23">
        <f>C22*Model!E56+Model!E55+Model!E57</f>
        <v/>
      </c>
      <c r="D34" s="23">
        <f>D22*Model!F56+Model!F55+Model!F57</f>
        <v/>
      </c>
      <c r="E34" s="23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Valuation!$B$57*(1-$C$25)*MAX(Valuation!$B$55,0)*MAX($B$13-$B$14,0)</f>
        <v/>
      </c>
    </row>
    <row r="50">
      <c r="A50" t="inlineStr">
        <is>
          <t>Net debt at target date</t>
        </is>
      </c>
      <c r="B50" s="23">
        <f>IF(Valuation!$B$58="",Valuation!$B$55-B47+B49+B48,Valuation!$B$58)</f>
        <v/>
      </c>
    </row>
    <row r="51">
      <c r="A51" t="inlineStr">
        <is>
          <t>Minority interests</t>
        </is>
      </c>
      <c r="B51" s="23">
        <f>Valuation!$B$56</f>
        <v/>
      </c>
    </row>
    <row r="52">
      <c r="A52" t="inlineStr">
        <is>
          <t>Adjustments (probability-weighted)</t>
        </is>
      </c>
      <c r="B52" s="23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3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8">
        <f>Valuation!C69</f>
        <v/>
      </c>
      <c r="H68">
        <f>IF(B68="EV/sales",1,IF(B68="EV/EBIT",2,IF(B68="EV/EBITDA",IF(Valuation!E69="adjusted",4,3),IF(B68="P/E",5,6))))</f>
        <v/>
      </c>
      <c r="I68" s="47">
        <f>IF(AND(B68="P/E",Valuation!F69&lt;&gt;""),(Valuation!F69)*(1+$B$9),IF(AND(B68="FCF yield",Valuation!G69&lt;&gt;""),(Valuation!G69)*(1+$B$9),E68))</f>
        <v/>
      </c>
    </row>
    <row r="69">
      <c r="A69" s="19" t="inlineStr">
        <is>
          <t>Value per share at target date (weighted methods)</t>
        </is>
      </c>
      <c r="F69" s="6">
        <f>SUMPRODUCT(F67:F68,G67:G68)/SUM(G67:G68)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Revenue growth, year 1</t>
        </is>
      </c>
      <c r="B250" s="49" t="n">
        <v>-0.05181152203262296</v>
      </c>
    </row>
    <row r="251">
      <c r="A251" t="inlineStr">
        <is>
          <t>EBIT margin, year 1</t>
        </is>
      </c>
      <c r="B251" s="49" t="n">
        <v>-0.02611800705647233</v>
      </c>
    </row>
    <row r="252">
      <c r="A252" t="inlineStr">
        <is>
          <t>Capex % revenue, year 1</t>
        </is>
      </c>
      <c r="B252" s="49" t="n">
        <v>0.00206037530569398</v>
      </c>
    </row>
    <row r="253">
      <c r="A253" t="inlineStr">
        <is>
          <t>Revenue growth, year 2</t>
        </is>
      </c>
      <c r="B253" s="49" t="n">
        <v>-0.00208531966942016</v>
      </c>
    </row>
    <row r="254">
      <c r="A254" t="inlineStr">
        <is>
          <t>EBIT margin, year 2</t>
        </is>
      </c>
      <c r="B254" s="49" t="n">
        <v>-0.02713765874519436</v>
      </c>
    </row>
    <row r="255">
      <c r="A255" t="inlineStr">
        <is>
          <t>Capex % revenue, year 2</t>
        </is>
      </c>
      <c r="B255" s="49" t="n">
        <v>0.002107673040623981</v>
      </c>
    </row>
    <row r="256">
      <c r="A256" t="inlineStr">
        <is>
          <t>Revenue growth, year 3</t>
        </is>
      </c>
      <c r="B256" s="49" t="n">
        <v>-0.001674098673184687</v>
      </c>
    </row>
    <row r="257">
      <c r="A257" t="inlineStr">
        <is>
          <t>EBIT margin, year 3</t>
        </is>
      </c>
      <c r="B257" s="49" t="n">
        <v>-0.02807927709457192</v>
      </c>
    </row>
    <row r="258">
      <c r="A258" t="inlineStr">
        <is>
          <t>Capex % revenue, year 3</t>
        </is>
      </c>
      <c r="B258" s="49" t="n">
        <v>0.002153672300750989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NFLX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N(Valuation!C82)</f>
        <v/>
      </c>
    </row>
    <row r="5">
      <c r="A5" t="inlineStr">
        <is>
          <t>Scenario Margin Δ</t>
        </is>
      </c>
      <c r="B5" s="12">
        <f>N(Valuation!D82)</f>
        <v/>
      </c>
    </row>
    <row r="6">
      <c r="A6" t="inlineStr">
        <is>
          <t>Scenario Multiple Δ (turns)</t>
        </is>
      </c>
      <c r="B6" s="48">
        <f>N(Valuation!E82)</f>
        <v/>
      </c>
    </row>
    <row r="7">
      <c r="A7" t="inlineStr">
        <is>
          <t>Scenario WACC Δ</t>
        </is>
      </c>
      <c r="B7" s="12">
        <f>N(Valuation!F82)</f>
        <v/>
      </c>
    </row>
    <row r="8">
      <c r="A8" t="inlineStr">
        <is>
          <t>Scenario Multiple %Δ</t>
        </is>
      </c>
      <c r="B8" s="12">
        <f>N(Valuation!G82)</f>
        <v/>
      </c>
    </row>
    <row r="9">
      <c r="A9" t="inlineStr">
        <is>
          <t>Scenario Stated EPS/FCF %Δ</t>
        </is>
      </c>
      <c r="B9" s="12">
        <f>N(Valuation!H82)</f>
        <v/>
      </c>
    </row>
    <row r="10">
      <c r="A10" t="inlineStr">
        <is>
          <t>Scenario Custom %Δ</t>
        </is>
      </c>
      <c r="B10" s="12">
        <f>N(Valuation!I82)</f>
        <v/>
      </c>
    </row>
    <row r="12">
      <c r="A12" t="inlineStr">
        <is>
          <t>WACC</t>
        </is>
      </c>
      <c r="B12" s="18">
        <f>Valuation!$B$50+B7</f>
        <v/>
      </c>
    </row>
    <row r="13">
      <c r="A13" t="inlineStr">
        <is>
          <t>Years from last FY end to target date</t>
        </is>
      </c>
      <c r="B13" s="46">
        <f>(Valuation!$B$44-Valuation!$B$48)/365.25</f>
        <v/>
      </c>
    </row>
    <row r="14">
      <c r="A14" t="inlineStr">
        <is>
          <t>Years from last FY end to balance date</t>
        </is>
      </c>
      <c r="B14" s="46">
        <f>(Valuation!$B$54-Valuation!$B$48)/365.25</f>
        <v/>
      </c>
    </row>
    <row r="15">
      <c r="A15" t="inlineStr">
        <is>
          <t>Years from last FY end to share count date</t>
        </is>
      </c>
      <c r="B15" s="46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Valuation!$B$48+ROUND(365.25*C19,0)</f>
        <v/>
      </c>
      <c r="D20" s="20">
        <f>Valuation!$B$48+ROUND(365.25*D19,0)</f>
        <v/>
      </c>
      <c r="E20" s="20">
        <f>Valuation!$B$48+ROUND(365.25*E19,0)</f>
        <v/>
      </c>
    </row>
    <row r="21">
      <c r="A21" t="inlineStr">
        <is>
          <t>Revenue growth</t>
        </is>
      </c>
      <c r="C21" s="18">
        <f>Model!E48+$B$4</f>
        <v/>
      </c>
      <c r="D21" s="18">
        <f>Model!F48+$B$4</f>
        <v/>
      </c>
      <c r="E21" s="18">
        <f>Model!G48+$B$4</f>
        <v/>
      </c>
    </row>
    <row r="22">
      <c r="A22" t="inlineStr">
        <is>
          <t>Revenue</t>
        </is>
      </c>
      <c r="B22" s="23">
        <f>Valuation!$B$49</f>
        <v/>
      </c>
      <c r="C22" s="23">
        <f>B22*(1+C21)</f>
        <v/>
      </c>
      <c r="D22" s="23">
        <f>C22*(1+D21)</f>
        <v/>
      </c>
      <c r="E22" s="23">
        <f>D22*(1+E21)</f>
        <v/>
      </c>
    </row>
    <row r="23">
      <c r="A23" t="inlineStr">
        <is>
          <t>EBIT margin</t>
        </is>
      </c>
      <c r="C23" s="18">
        <f>Model!E49+$B$5</f>
        <v/>
      </c>
      <c r="D23" s="18">
        <f>Model!F49+$B$5</f>
        <v/>
      </c>
      <c r="E23" s="18">
        <f>Model!G49+$B$5</f>
        <v/>
      </c>
    </row>
    <row r="24">
      <c r="A24" t="inlineStr">
        <is>
          <t>EBIT</t>
        </is>
      </c>
      <c r="C24" s="23">
        <f>C22*C23</f>
        <v/>
      </c>
      <c r="D24" s="23">
        <f>D22*D23</f>
        <v/>
      </c>
      <c r="E24" s="23">
        <f>E22*E23</f>
        <v/>
      </c>
    </row>
    <row r="25">
      <c r="A25" t="inlineStr">
        <is>
          <t>Tax rate</t>
        </is>
      </c>
      <c r="C25" s="18">
        <f>Model!E50</f>
        <v/>
      </c>
      <c r="D25" s="18">
        <f>Model!F50</f>
        <v/>
      </c>
      <c r="E25" s="18">
        <f>Model!G50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C22*(Model!E51)</f>
        <v/>
      </c>
      <c r="D27" s="23">
        <f>D22*(Model!F51)</f>
        <v/>
      </c>
      <c r="E27" s="23">
        <f>E22*(Model!G51)</f>
        <v/>
      </c>
    </row>
    <row r="28">
      <c r="A28" t="inlineStr">
        <is>
          <t>Capex</t>
        </is>
      </c>
      <c r="C28" s="23">
        <f>C22*(Model!E52)</f>
        <v/>
      </c>
      <c r="D28" s="23">
        <f>D22*(Model!F52)</f>
        <v/>
      </c>
      <c r="E28" s="23">
        <f>E22*(Model!G52)</f>
        <v/>
      </c>
    </row>
    <row r="29">
      <c r="A29" t="inlineStr">
        <is>
          <t>Working capital increase</t>
        </is>
      </c>
      <c r="C29" s="23">
        <f>(Model!E53)*(C22-B22)</f>
        <v/>
      </c>
      <c r="D29" s="23">
        <f>(Model!F53)*(D22-C22)</f>
        <v/>
      </c>
      <c r="E29" s="23">
        <f>(Model!G53)*(E22-D22)</f>
        <v/>
      </c>
    </row>
    <row r="30">
      <c r="A30" t="inlineStr">
        <is>
          <t>Stock comp</t>
        </is>
      </c>
      <c r="C30" s="23">
        <f>C22*(Model!E54)</f>
        <v/>
      </c>
      <c r="D30" s="23">
        <f>D22*(Model!F54)</f>
        <v/>
      </c>
      <c r="E30" s="23">
        <f>E22*(Model!G54)</f>
        <v/>
      </c>
    </row>
    <row r="31">
      <c r="A31" t="inlineStr">
        <is>
          <t>Free cash flow to firm</t>
        </is>
      </c>
      <c r="C31" s="23">
        <f>C26+C27-C28-C29-IF(AND(Valuation!$B$46="adjusted",Valuation!$B$47="cost"),C30*(1-C25),0)</f>
        <v/>
      </c>
      <c r="D31" s="23">
        <f>D26+D27-D28-D29-IF(AND(Valuation!$B$46="adjusted",Valuation!$B$47="cost"),D30*(1-D25),0)</f>
        <v/>
      </c>
      <c r="E31" s="23">
        <f>E26+E27-E28-E29-IF(AND(Valuation!$B$46="adjusted",Valuation!$B$47="cost"),E30*(1-E25),0)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C24+C27+C22*(Model!E58)</f>
        <v/>
      </c>
      <c r="D33" s="23">
        <f>D24+D27+D22*(Model!F58)</f>
        <v/>
      </c>
      <c r="E33" s="23">
        <f>E24+E27+E22*(Model!G58)</f>
        <v/>
      </c>
    </row>
    <row r="34">
      <c r="A34" t="inlineStr">
        <is>
          <t>Shareholder returns + other uses</t>
        </is>
      </c>
      <c r="C34" s="23">
        <f>C22*Model!E56+Model!E55+Model!E57</f>
        <v/>
      </c>
      <c r="D34" s="23">
        <f>D22*Model!F56+Model!F55+Model!F57</f>
        <v/>
      </c>
      <c r="E34" s="23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Valuation!$B$57*(1-$C$25)*MAX(Valuation!$B$55,0)*MAX($B$13-$B$14,0)</f>
        <v/>
      </c>
    </row>
    <row r="50">
      <c r="A50" t="inlineStr">
        <is>
          <t>Net debt at target date</t>
        </is>
      </c>
      <c r="B50" s="23">
        <f>IF(Valuation!$B$58="",Valuation!$B$55-B47+B49+B48,Valuation!$B$58)</f>
        <v/>
      </c>
    </row>
    <row r="51">
      <c r="A51" t="inlineStr">
        <is>
          <t>Minority interests</t>
        </is>
      </c>
      <c r="B51" s="23">
        <f>Valuation!$B$56</f>
        <v/>
      </c>
    </row>
    <row r="52">
      <c r="A52" t="inlineStr">
        <is>
          <t>Adjustments (probability-weighted)</t>
        </is>
      </c>
      <c r="B52" s="23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3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8">
        <f>Valuation!C69</f>
        <v/>
      </c>
      <c r="H68">
        <f>IF(B68="EV/sales",1,IF(B68="EV/EBIT",2,IF(B68="EV/EBITDA",IF(Valuation!E69="adjusted",4,3),IF(B68="P/E",5,6))))</f>
        <v/>
      </c>
      <c r="I68" s="47">
        <f>IF(AND(B68="P/E",Valuation!F69&lt;&gt;""),(Valuation!F69)*(1+$B$9),IF(AND(B68="FCF yield",Valuation!G69&lt;&gt;""),(Valuation!G69)*(1+$B$9),E68))</f>
        <v/>
      </c>
    </row>
    <row r="69">
      <c r="A69" s="19" t="inlineStr">
        <is>
          <t>Value per share at target date (weighted methods)</t>
        </is>
      </c>
      <c r="F69" s="6">
        <f>SUMPRODUCT(F67:F68,G67:G68)/SUM(G67:G68)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8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NFLX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N(Valuation!C83)</f>
        <v/>
      </c>
    </row>
    <row r="5">
      <c r="A5" t="inlineStr">
        <is>
          <t>Scenario Margin Δ</t>
        </is>
      </c>
      <c r="B5" s="12">
        <f>N(Valuation!D83)</f>
        <v/>
      </c>
    </row>
    <row r="6">
      <c r="A6" t="inlineStr">
        <is>
          <t>Scenario Multiple Δ (turns)</t>
        </is>
      </c>
      <c r="B6" s="48">
        <f>N(Valuation!E83)</f>
        <v/>
      </c>
    </row>
    <row r="7">
      <c r="A7" t="inlineStr">
        <is>
          <t>Scenario WACC Δ</t>
        </is>
      </c>
      <c r="B7" s="12">
        <f>N(Valuation!F83)</f>
        <v/>
      </c>
    </row>
    <row r="8">
      <c r="A8" t="inlineStr">
        <is>
          <t>Scenario Multiple %Δ</t>
        </is>
      </c>
      <c r="B8" s="12">
        <f>N(Valuation!G83)</f>
        <v/>
      </c>
    </row>
    <row r="9">
      <c r="A9" t="inlineStr">
        <is>
          <t>Scenario Stated EPS/FCF %Δ</t>
        </is>
      </c>
      <c r="B9" s="12">
        <f>N(Valuation!H83)</f>
        <v/>
      </c>
    </row>
    <row r="10">
      <c r="A10" t="inlineStr">
        <is>
          <t>Scenario Custom %Δ</t>
        </is>
      </c>
      <c r="B10" s="12">
        <f>N(Valuation!I83)</f>
        <v/>
      </c>
    </row>
    <row r="12">
      <c r="A12" t="inlineStr">
        <is>
          <t>WACC</t>
        </is>
      </c>
      <c r="B12" s="18">
        <f>Valuation!$B$50+B7</f>
        <v/>
      </c>
    </row>
    <row r="13">
      <c r="A13" t="inlineStr">
        <is>
          <t>Years from last FY end to target date</t>
        </is>
      </c>
      <c r="B13" s="46">
        <f>(Valuation!$B$44-Valuation!$B$48)/365.25</f>
        <v/>
      </c>
    </row>
    <row r="14">
      <c r="A14" t="inlineStr">
        <is>
          <t>Years from last FY end to balance date</t>
        </is>
      </c>
      <c r="B14" s="46">
        <f>(Valuation!$B$54-Valuation!$B$48)/365.25</f>
        <v/>
      </c>
    </row>
    <row r="15">
      <c r="A15" t="inlineStr">
        <is>
          <t>Years from last FY end to share count date</t>
        </is>
      </c>
      <c r="B15" s="46">
        <f>(Valuation!$B$60-Valuation!$B$48)/365.25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Valuation!$B$48+ROUND(365.25*C19,0)</f>
        <v/>
      </c>
      <c r="D20" s="20">
        <f>Valuation!$B$48+ROUND(365.25*D19,0)</f>
        <v/>
      </c>
      <c r="E20" s="20">
        <f>Valuation!$B$48+ROUND(365.25*E19,0)</f>
        <v/>
      </c>
    </row>
    <row r="21">
      <c r="A21" t="inlineStr">
        <is>
          <t>Revenue growth</t>
        </is>
      </c>
      <c r="C21" s="18">
        <f>Model!E48+$B$4+$B$250</f>
        <v/>
      </c>
      <c r="D21" s="18">
        <f>Model!F48+$B$4+$B$253</f>
        <v/>
      </c>
      <c r="E21" s="18">
        <f>Model!G48+$B$4+$B$256</f>
        <v/>
      </c>
    </row>
    <row r="22">
      <c r="A22" t="inlineStr">
        <is>
          <t>Revenue</t>
        </is>
      </c>
      <c r="B22" s="23">
        <f>Valuation!$B$49</f>
        <v/>
      </c>
      <c r="C22" s="23">
        <f>B22*(1+C21)</f>
        <v/>
      </c>
      <c r="D22" s="23">
        <f>C22*(1+D21)</f>
        <v/>
      </c>
      <c r="E22" s="23">
        <f>D22*(1+E21)</f>
        <v/>
      </c>
    </row>
    <row r="23">
      <c r="A23" t="inlineStr">
        <is>
          <t>EBIT margin</t>
        </is>
      </c>
      <c r="C23" s="18">
        <f>Model!E49+$B$5+$B$251</f>
        <v/>
      </c>
      <c r="D23" s="18">
        <f>Model!F49+$B$5+$B$254</f>
        <v/>
      </c>
      <c r="E23" s="18">
        <f>Model!G49+$B$5+$B$257</f>
        <v/>
      </c>
    </row>
    <row r="24">
      <c r="A24" t="inlineStr">
        <is>
          <t>EBIT</t>
        </is>
      </c>
      <c r="C24" s="23">
        <f>C22*C23</f>
        <v/>
      </c>
      <c r="D24" s="23">
        <f>D22*D23</f>
        <v/>
      </c>
      <c r="E24" s="23">
        <f>E22*E23</f>
        <v/>
      </c>
    </row>
    <row r="25">
      <c r="A25" t="inlineStr">
        <is>
          <t>Tax rate</t>
        </is>
      </c>
      <c r="C25" s="18">
        <f>Model!E50</f>
        <v/>
      </c>
      <c r="D25" s="18">
        <f>Model!F50</f>
        <v/>
      </c>
      <c r="E25" s="18">
        <f>Model!G50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C22*(Model!E51)</f>
        <v/>
      </c>
      <c r="D27" s="23">
        <f>D22*(Model!F51)</f>
        <v/>
      </c>
      <c r="E27" s="23">
        <f>E22*(Model!G51)</f>
        <v/>
      </c>
    </row>
    <row r="28">
      <c r="A28" t="inlineStr">
        <is>
          <t>Capex</t>
        </is>
      </c>
      <c r="C28" s="23">
        <f>C22*(Model!E52+$B$252)</f>
        <v/>
      </c>
      <c r="D28" s="23">
        <f>D22*(Model!F52+$B$255)</f>
        <v/>
      </c>
      <c r="E28" s="23">
        <f>E22*(Model!G52+$B$258)</f>
        <v/>
      </c>
    </row>
    <row r="29">
      <c r="A29" t="inlineStr">
        <is>
          <t>Working capital increase</t>
        </is>
      </c>
      <c r="C29" s="23">
        <f>(Model!E53)*(C22-B22)</f>
        <v/>
      </c>
      <c r="D29" s="23">
        <f>(Model!F53)*(D22-C22)</f>
        <v/>
      </c>
      <c r="E29" s="23">
        <f>(Model!G53)*(E22-D22)</f>
        <v/>
      </c>
    </row>
    <row r="30">
      <c r="A30" t="inlineStr">
        <is>
          <t>Stock comp</t>
        </is>
      </c>
      <c r="C30" s="23">
        <f>C22*(Model!E54)</f>
        <v/>
      </c>
      <c r="D30" s="23">
        <f>D22*(Model!F54)</f>
        <v/>
      </c>
      <c r="E30" s="23">
        <f>E22*(Model!G54)</f>
        <v/>
      </c>
    </row>
    <row r="31">
      <c r="A31" t="inlineStr">
        <is>
          <t>Free cash flow to firm</t>
        </is>
      </c>
      <c r="C31" s="23">
        <f>C26+C27-C28-C29-IF(AND(Valuation!$B$46="adjusted",Valuation!$B$47="cost"),C30*(1-C25),0)</f>
        <v/>
      </c>
      <c r="D31" s="23">
        <f>D26+D27-D28-D29-IF(AND(Valuation!$B$46="adjusted",Valuation!$B$47="cost"),D30*(1-D25),0)</f>
        <v/>
      </c>
      <c r="E31" s="23">
        <f>E26+E27-E28-E29-IF(AND(Valuation!$B$46="adjusted",Valuation!$B$47="cost"),E30*(1-E25),0)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C24+C27+C22*(Model!E58)</f>
        <v/>
      </c>
      <c r="D33" s="23">
        <f>D24+D27+D22*(Model!F58)</f>
        <v/>
      </c>
      <c r="E33" s="23">
        <f>E24+E27+E22*(Model!G58)</f>
        <v/>
      </c>
    </row>
    <row r="34">
      <c r="A34" t="inlineStr">
        <is>
          <t>Shareholder returns + other uses</t>
        </is>
      </c>
      <c r="C34" s="23">
        <f>C22*Model!E56+Model!E55+Model!E57</f>
        <v/>
      </c>
      <c r="D34" s="23">
        <f>D22*Model!F56+Model!F55+Model!F57</f>
        <v/>
      </c>
      <c r="E34" s="23">
        <f>E22*Model!G56+Model!G55+Model!G57</f>
        <v/>
      </c>
    </row>
    <row r="35">
      <c r="A35" t="inlineStr">
        <is>
          <t>Share of year after target date</t>
        </is>
      </c>
      <c r="C35" s="46">
        <f>IF(C19&lt;=$B$13,0,C19-MAX(C19-1,$B$13))</f>
        <v/>
      </c>
      <c r="D35" s="46">
        <f>IF(D19&lt;=$B$13,0,D19-MAX(D19-1,$B$13))</f>
        <v/>
      </c>
      <c r="E35" s="46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6">
        <f>MAX(0,MIN(C19,$B$13)-MAX(C19-1,$B$14))</f>
        <v/>
      </c>
      <c r="D37" s="46">
        <f>MAX(0,MIN(D19,$B$13)-MAX(D19-1,$B$14))</f>
        <v/>
      </c>
      <c r="E37" s="46">
        <f>MAX(0,MIN(E19,$B$13)-MAX(E19-1,$B$14))</f>
        <v/>
      </c>
    </row>
    <row r="38">
      <c r="A38" t="inlineStr">
        <is>
          <t>NTM weight at target date</t>
        </is>
      </c>
      <c r="C38" s="46">
        <f>MAX(0,MIN(C19,$B$13+1)-MAX(C19-1,$B$13))</f>
        <v/>
      </c>
      <c r="D38" s="46">
        <f>MAX(0,MIN(D19,$B$13+1)-MAX(D19-1,$B$13))</f>
        <v/>
      </c>
      <c r="E38" s="46">
        <f>MAX(0,MIN(E19,$B$13+1)-MAX(E19-1,$B$13))</f>
        <v/>
      </c>
    </row>
    <row r="39">
      <c r="A39" t="inlineStr">
        <is>
          <t>LTM weight at target date</t>
        </is>
      </c>
      <c r="B39" s="46">
        <f>MAX(0,MIN(0,$B$13)-MAX(-1,$B$13-1))</f>
        <v/>
      </c>
      <c r="C39" s="46">
        <f>MAX(0,MIN(C19,$B$13)-MAX(C19-1,$B$13-1))</f>
        <v/>
      </c>
      <c r="D39" s="46">
        <f>MAX(0,MIN(D19,$B$13)-MAX(D19-1,$B$13-1))</f>
        <v/>
      </c>
      <c r="E39" s="46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IF(Valuation!$B$51="exit_multiple",Valuation!$B$53*E32,E31*(1+Valuation!$B$52)/($B$12-Valuation!$B$52))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Valuation!$B$57*(1-$C$25)*MAX(Valuation!$B$55,0)*MAX($B$13-$B$14,0)</f>
        <v/>
      </c>
    </row>
    <row r="50">
      <c r="A50" t="inlineStr">
        <is>
          <t>Net debt at target date</t>
        </is>
      </c>
      <c r="B50" s="23">
        <f>IF(Valuation!$B$58="",Valuation!$B$55-B47+B49+B48,Valuation!$B$58)</f>
        <v/>
      </c>
    </row>
    <row r="51">
      <c r="A51" t="inlineStr">
        <is>
          <t>Minority interests</t>
        </is>
      </c>
      <c r="B51" s="23">
        <f>Valuation!$B$56</f>
        <v/>
      </c>
    </row>
    <row r="52">
      <c r="A52" t="inlineStr">
        <is>
          <t>Adjustments (probability-weighted)</t>
        </is>
      </c>
      <c r="B52" s="23">
        <f>(Valuation!B75)*Valuation!C75+0</f>
        <v/>
      </c>
    </row>
    <row r="53">
      <c r="A53" t="inlineStr">
        <is>
          <t>Diluted shares at target date (M)</t>
        </is>
      </c>
      <c r="B53" s="26">
        <f>IF(Valuation!$B$62="",Valuation!$B$59*(1+Valuation!$B$61)^MAX($B$13-$B$15,0),Valuation!$B$62)</f>
        <v/>
      </c>
    </row>
    <row r="54">
      <c r="A54" t="inlineStr">
        <is>
          <t>After-tax interest on target-date net debt</t>
        </is>
      </c>
      <c r="B54" s="23">
        <f>Valuation!$B$57*(1-$C$25)*MAX(B50,0)</f>
        <v/>
      </c>
    </row>
    <row r="55">
      <c r="A55" t="inlineStr">
        <is>
          <t>Check: WACC vs terminal growth</t>
        </is>
      </c>
      <c r="B55">
        <f>IF(AND(Valuation!$B$51&lt;&gt;"exit_multiple",$B$12&lt;=Valuation!$B$52+0.01),"WACC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Valuation!$B$63</f>
        <v/>
      </c>
    </row>
    <row r="68">
      <c r="A68">
        <f>"Multiple: "&amp;Valuation!A69&amp;" ("&amp;Valuation!D69&amp;")"</f>
        <v/>
      </c>
      <c r="B68">
        <f>Valuation!A69</f>
        <v/>
      </c>
      <c r="C68" s="9">
        <f>IF(B68="FCF yield",(Valuation!B69)*(1-$B$8),(Valuation!B69)+IF(B68="EV/sales",0.1,1)*$B$6)</f>
        <v/>
      </c>
      <c r="D68">
        <f>Valuation!D69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69&lt;&gt;"",C68*(Valuation!F69)*(1+$B$9),C68*(E68-$B$54)/$B$53),IF(Valuation!G69&lt;&gt;"",(Valuation!G69)*(1+$B$9)/C68,(E68-IF(Valuation!H69,$B$54,0))/C68/$B$53))+$B$52/$B$53)</f>
        <v/>
      </c>
      <c r="G68" s="18">
        <f>Valuation!C69</f>
        <v/>
      </c>
      <c r="H68">
        <f>IF(B68="EV/sales",1,IF(B68="EV/EBIT",2,IF(B68="EV/EBITDA",IF(Valuation!E69="adjusted",4,3),IF(B68="P/E",5,6))))</f>
        <v/>
      </c>
      <c r="I68" s="47">
        <f>IF(AND(B68="P/E",Valuation!F69&lt;&gt;""),(Valuation!F69)*(1+$B$9),IF(AND(B68="FCF yield",Valuation!G69&lt;&gt;""),(Valuation!G69)*(1+$B$9),E68))</f>
        <v/>
      </c>
    </row>
    <row r="69">
      <c r="A69" s="19" t="inlineStr">
        <is>
          <t>Value per share at target date (weighted methods)</t>
        </is>
      </c>
      <c r="F69" s="6">
        <f>SUMPRODUCT(F67:F68,G67:G68)/SUM(G67:G68)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Revenue growth, year 1</t>
        </is>
      </c>
      <c r="B250" s="49" t="n">
        <v>0.02503153841046379</v>
      </c>
    </row>
    <row r="251">
      <c r="A251" t="inlineStr">
        <is>
          <t>EBIT margin, year 1</t>
        </is>
      </c>
      <c r="B251" s="49" t="n">
        <v>0.01483306975811688</v>
      </c>
    </row>
    <row r="252">
      <c r="A252" t="inlineStr">
        <is>
          <t>Capex % revenue, year 1</t>
        </is>
      </c>
      <c r="B252" s="49" t="n">
        <v>-0.0007627564153985314</v>
      </c>
    </row>
    <row r="253">
      <c r="A253" t="inlineStr">
        <is>
          <t>Revenue growth, year 2</t>
        </is>
      </c>
      <c r="B253" s="49" t="n">
        <v>0.002389132148579387</v>
      </c>
    </row>
    <row r="254">
      <c r="A254" t="inlineStr">
        <is>
          <t>EBIT margin, year 2</t>
        </is>
      </c>
      <c r="B254" s="49" t="n">
        <v>0.01606930159112119</v>
      </c>
    </row>
    <row r="255">
      <c r="A255" t="inlineStr">
        <is>
          <t>Capex % revenue, year 2</t>
        </is>
      </c>
      <c r="B255" s="49" t="n">
        <v>-0.0008281143549532383</v>
      </c>
    </row>
    <row r="256">
      <c r="A256" t="inlineStr">
        <is>
          <t>Revenue growth, year 3</t>
        </is>
      </c>
      <c r="B256" s="49" t="n">
        <v>0.001910229771200589</v>
      </c>
    </row>
    <row r="257">
      <c r="A257" t="inlineStr">
        <is>
          <t>EBIT margin, year 3</t>
        </is>
      </c>
      <c r="B257" s="49" t="n">
        <v>0.01714028095932851</v>
      </c>
    </row>
    <row r="258">
      <c r="A258" t="inlineStr">
        <is>
          <t>Capex % revenue, year 3</t>
        </is>
      </c>
      <c r="B258" s="49" t="n">
        <v>-0.0008833176553532801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NFLX: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agent 1</t>
        </is>
      </c>
      <c r="B4" s="9" t="n">
        <v>73.95555144175781</v>
      </c>
      <c r="C4" s="9" t="n">
        <v>73.06104941304325</v>
      </c>
      <c r="D4" s="9" t="n">
        <v>57.24764249842249</v>
      </c>
      <c r="E4" s="9" t="n">
        <v>88.46213508390402</v>
      </c>
      <c r="F4" s="18" t="n">
        <v>0.093</v>
      </c>
      <c r="G4" s="18" t="n"/>
      <c r="H4" s="18" t="n"/>
      <c r="I4" s="18" t="n">
        <v>0.03</v>
      </c>
      <c r="J4" s="18" t="n">
        <v>0</v>
      </c>
      <c r="K4" t="n">
        <v>5</v>
      </c>
      <c r="L4" t="inlineStr">
        <is>
          <t>P/E 18.0 (ntm); EV/EBITDA 14.0 (ntm)</t>
        </is>
      </c>
      <c r="M4" s="41" t="inlineStr">
        <is>
          <t>Sound four-region build. Paramount-WBD still pending in its risks and catalysts (FCC/UK reviews, 2027-06-04 outside date), but the deal closed 2026-10-06. EV/EBITDA at 0.25 weight is untested judgment. [5 projected years (over the 3-year cap)]</t>
        </is>
      </c>
    </row>
    <row r="5">
      <c r="A5" t="inlineStr">
        <is>
          <t>agent 2</t>
        </is>
      </c>
      <c r="B5" s="9" t="n">
        <v>75.18858559890185</v>
      </c>
      <c r="C5" s="9" t="n">
        <v>74.73107446708184</v>
      </c>
      <c r="D5" s="9" t="n">
        <v>59.15763914914443</v>
      </c>
      <c r="E5" s="9" t="n">
        <v>90.89466449776839</v>
      </c>
      <c r="F5" s="18" t="n">
        <v>0.096</v>
      </c>
      <c r="G5" s="18" t="n"/>
      <c r="H5" s="18" t="n"/>
      <c r="I5" s="18" t="n">
        <v>0.03</v>
      </c>
      <c r="J5" s="18" t="n">
        <v>0</v>
      </c>
      <c r="K5" t="n">
        <v>5</v>
      </c>
      <c r="L5" t="inlineStr">
        <is>
          <t>P/E 18.0 (ntm)</t>
        </is>
      </c>
      <c r="M5" s="41" t="inlineStr">
        <is>
          <t>Correct on the Paramount-WBD closing (AP). Shares -3.5% and WACC 9.6% sit at the edges of the group, each argued. [5 projected years (over the 3-year cap)]</t>
        </is>
      </c>
    </row>
    <row r="6">
      <c r="A6" t="inlineStr">
        <is>
          <t>agent 3</t>
        </is>
      </c>
      <c r="B6" s="9" t="n">
        <v>74.76085395670074</v>
      </c>
      <c r="C6" s="9" t="n">
        <v>73.83968747809901</v>
      </c>
      <c r="D6" s="9" t="n">
        <v>58.0028042396903</v>
      </c>
      <c r="E6" s="9" t="n">
        <v>90.79952032785963</v>
      </c>
      <c r="F6" s="18" t="n">
        <v>0.095</v>
      </c>
      <c r="G6" s="18" t="n"/>
      <c r="H6" s="18" t="n"/>
      <c r="I6" s="18" t="n">
        <v>0.03</v>
      </c>
      <c r="J6" s="18" t="n">
        <v>0</v>
      </c>
      <c r="K6" t="n">
        <v>5</v>
      </c>
      <c r="L6" t="inlineStr">
        <is>
          <t>P/E 18.0 (ntm)</t>
        </is>
      </c>
      <c r="M6" s="41" t="inlineStr">
        <is>
          <t>Stale Paramount-WBD fact (outside date, $7B fee). NTM EPS label arithmetic: 0.73+0.93+0.98+0.98 = 3.62, not 3.56. The -$15B x 0.15 M&amp;A overpayment is unsupported in size. [5 projected years (over the 3-year cap)]</t>
        </is>
      </c>
    </row>
    <row r="7">
      <c r="A7" t="inlineStr">
        <is>
          <t>agent 4</t>
        </is>
      </c>
      <c r="B7" s="9" t="n">
        <v>75.38457345464451</v>
      </c>
      <c r="C7" s="9" t="n">
        <v>74.85554840086186</v>
      </c>
      <c r="D7" s="9" t="n">
        <v>59.41618816309884</v>
      </c>
      <c r="E7" s="9" t="n">
        <v>88.85172813540201</v>
      </c>
      <c r="F7" s="18" t="n">
        <v>0.092</v>
      </c>
      <c r="G7" s="18" t="n"/>
      <c r="H7" s="18" t="n">
        <v>0.315</v>
      </c>
      <c r="I7" s="18" t="n">
        <v>0.03</v>
      </c>
      <c r="J7" s="18" t="n">
        <v>0</v>
      </c>
      <c r="K7" t="n">
        <v>5</v>
      </c>
      <c r="L7" t="inlineStr">
        <is>
          <t>P/E 18.0 (ntm); EV/EBITDA 14.0 (ntm)</t>
        </is>
      </c>
      <c r="M7" s="41" t="inlineStr">
        <is>
          <t>Correct on the closing (WBD S-8 POS). The UCAN FY27 growth cut to 7% rests partly on a PPC Land newsletter ('merge into one streaming giant, 200M subs') not confirmed at a primary source. 11-name peer median includes LYV, CMCSA and ROKU. [5 projected years (over the 3-year cap)]</t>
        </is>
      </c>
    </row>
    <row r="8">
      <c r="A8" t="inlineStr">
        <is>
          <t>agent 5</t>
        </is>
      </c>
      <c r="B8" s="9" t="n">
        <v>76.08777053144357</v>
      </c>
      <c r="C8" s="9" t="n">
        <v>75.623418955098</v>
      </c>
      <c r="D8" s="9" t="n">
        <v>59.88446216162109</v>
      </c>
      <c r="E8" s="9" t="n">
        <v>91.96532907619275</v>
      </c>
      <c r="F8" s="18" t="n">
        <v>0.094</v>
      </c>
      <c r="G8" s="18" t="n"/>
      <c r="H8" s="18" t="n"/>
      <c r="I8" s="18" t="n">
        <v>0.03</v>
      </c>
      <c r="J8" s="18" t="n">
        <v>0</v>
      </c>
      <c r="K8" t="n">
        <v>5</v>
      </c>
      <c r="L8" t="inlineStr">
        <is>
          <t>P/E 18.0 (ntm)</t>
        </is>
      </c>
      <c r="M8" s="41" t="inlineStr">
        <is>
          <t>Stale Kalshi-based Paramount-WBD probability (0.65, July 2026), resolved by the 2026-10-06 closing. FY30 margin 36.5% is the highest in the group. Bull multiple +4 turns. [5 projected years (over the 3-year cap)]</t>
        </is>
      </c>
    </row>
    <row r="9">
      <c r="A9" t="inlineStr">
        <is>
          <t>supervisor</t>
        </is>
      </c>
      <c r="B9" s="9" t="n">
        <v>76.21965120785578</v>
      </c>
      <c r="C9" s="9" t="n">
        <v>75.47240158668126</v>
      </c>
      <c r="D9" s="9" t="n">
        <v>61.17278544982516</v>
      </c>
      <c r="E9" s="9" t="n">
        <v>88.67068543537823</v>
      </c>
      <c r="F9" s="18" t="n">
        <v>0.094</v>
      </c>
      <c r="G9" s="18" t="n">
        <v>0.1309563331341435</v>
      </c>
      <c r="H9" s="18" t="n">
        <v>0.3149902152641878</v>
      </c>
      <c r="I9" s="18" t="n">
        <v>0.03</v>
      </c>
      <c r="J9" s="18" t="n">
        <v>0</v>
      </c>
      <c r="K9" t="n">
        <v>3</v>
      </c>
      <c r="L9" t="inlineStr">
        <is>
          <t>P/E 19.07 (ntm)</t>
        </is>
      </c>
      <c r="M9" s="4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NFLX: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1" t="inlineStr">
        <is>
          <t>Base revenue FY2025</t>
        </is>
      </c>
      <c r="B4" t="inlineStr">
        <is>
          <t>$45,183.0M</t>
        </is>
      </c>
      <c r="C4" t="inlineStr">
        <is>
          <t>reported</t>
        </is>
      </c>
      <c r="D4" t="inlineStr">
        <is>
          <t>2, 9</t>
        </is>
      </c>
      <c r="E4" t="inlineStr">
        <is>
          <t>F3</t>
        </is>
      </c>
      <c r="F4" s="41" t="inlineStr">
        <is>
          <t>10-K FY2025 total revenue (F3).</t>
        </is>
      </c>
    </row>
    <row r="5">
      <c r="A5" s="41" t="inlineStr">
        <is>
          <t>Regional base revenue FY2025</t>
        </is>
      </c>
      <c r="B5" t="inlineStr">
        <is>
          <t>UCAN 19,957.2; EMEA 14,514.6; LATAM 5,357.5; APAC 5,353.7 ($M)</t>
        </is>
      </c>
      <c r="C5" t="inlineStr">
        <is>
          <t>reported</t>
        </is>
      </c>
      <c r="D5" t="inlineStr">
        <is>
          <t>2</t>
        </is>
      </c>
      <c r="E5" t="inlineStr">
        <is>
          <t>F3</t>
        </is>
      </c>
      <c r="F5" s="41" t="inlineStr">
        <is>
          <t>10-K FY2025 streaming revenues by region ($K): UCAN 19,957,152; EMEA 14,514,646; LATAM 5,357,521; APAC 5,353,717; total 45,183,036 = F3 (opened by the gate 2026-10-21).</t>
        </is>
      </c>
    </row>
    <row r="6">
      <c r="A6" s="41" t="inlineStr">
        <is>
          <t>FY2026 revenue growth by region</t>
        </is>
      </c>
      <c r="B6" t="inlineStr">
        <is>
          <t>UCAN +11.4%, EMEA +12.7%, LATAM +17.6%, APAC +15.1% (total $51,053M, +13.0%)</t>
        </is>
      </c>
      <c r="C6" t="inlineStr">
        <is>
          <t>estimate</t>
        </is>
      </c>
      <c r="D6" t="inlineStr">
        <is>
          <t>1</t>
        </is>
      </c>
      <c r="E6" t="inlineStr">
        <is>
          <t>F3</t>
        </is>
      </c>
      <c r="F6" s="41" t="inlineStr">
        <is>
          <t>19,957.2x1.114 + 14,514.6x1.127 + 5,357.5x1.176 + 5,353.7x1.151 = 22,232 + 16,358 + 6,300 + 6,162 = 51,053 vs the Q3 letter FY2026 outlook $51.1B (+13%); split follows Q3 regional growth (UCAN 11%, EMEA 11%/9% FXN, LATAM 17%, APAC 12%/15% FXN). Derived split (estimate), not guidance: the letter guides only the total, and the regional mix is Q1-Q3 actuals plus Q4 = Q4'25 x growth. [gate 2026-10-21]</t>
        </is>
      </c>
    </row>
    <row r="7">
      <c r="A7" s="41" t="inlineStr">
        <is>
          <t>FY2027 revenue growth by region</t>
        </is>
      </c>
      <c r="B7" t="inlineStr">
        <is>
          <t>UCAN +9.0%, EMEA +10.0%, LATAM +12.0%, APAC +13.5% (total ~$56.3B, +10.2%)</t>
        </is>
      </c>
      <c r="C7" t="inlineStr">
        <is>
          <t>estimate</t>
        </is>
      </c>
      <c r="D7" t="inlineStr">
        <is>
          <t>1, 8, 15</t>
        </is>
      </c>
      <c r="E7" t="inlineStr"/>
      <c r="F7" s="41" t="inlineStr">
        <is>
          <t>Increment 22,232x9% + 16,358x10% + 6,300x12% + 6,162x13.5% = 2,001 + 1,636 + 756 + 832 = 5,225 on 51,053 = +10.2%. CFO on the Q3 call: 'We look to sustain double-digit revenue growth'; ad tier in 15 new countries in 2027 (Q3 letter). ~1.1% under the pre-print $56.96B street revenue figure (StockAnalysis 'Revenue Next Year', source 15; Nasdaq/Zacks gives EPS only). [gate 2026-10-21]</t>
        </is>
      </c>
    </row>
    <row r="8">
      <c r="A8" s="41" t="inlineStr">
        <is>
          <t>FY2028-FY2030 revenue growth by region</t>
        </is>
      </c>
      <c r="B8" t="inlineStr">
        <is>
          <t>UCAN 7.5/6.5/5.5%; EMEA 8.5/7.5/6.5%; LATAM 10/9/8%; APAC 12/10.5/9%</t>
        </is>
      </c>
      <c r="C8" t="inlineStr">
        <is>
          <t>judgment</t>
        </is>
      </c>
      <c r="D8" t="inlineStr">
        <is>
          <t>1</t>
        </is>
      </c>
      <c r="E8" t="inlineStr"/>
      <c r="F8" s="41" t="inlineStr">
        <is>
          <t>Fade of ~1-1.5pt a year toward a steady state before the 3% terminal; UCAN slowest (penetration, YouTube share of TV), APAC fastest.</t>
        </is>
      </c>
    </row>
    <row r="9">
      <c r="A9" s="41" t="inlineStr">
        <is>
          <t>GAAP EBIT margin path (after SBC)</t>
        </is>
      </c>
      <c r="B9" t="inlineStr">
        <is>
          <t>31.5% FY26, 33.0% FY27, 34.1% FY28, 35.0% FY29, 35.7% FY30</t>
        </is>
      </c>
      <c r="C9" t="inlineStr">
        <is>
          <t>estimate</t>
        </is>
      </c>
      <c r="D9" t="inlineStr">
        <is>
          <t>1, 8, 3, 4</t>
        </is>
      </c>
      <c r="E9" t="inlineStr">
        <is>
          <t>F10, F3</t>
        </is>
      </c>
      <c r="F9" s="41" t="inlineStr">
        <is>
          <t>FY26 31.5% = Q3 letter outlook (incl. ~120bp Q4 headcount charge, ~0.3pt of the year). FY27 +1.5pt: charge does not recur, layoff savings unquantified ('We are not going to specifically quantify the expense impact in 2027', CFO), 'steadily growing margin each year'. FY28-30 trimmed 0.2/0.3/0.3pt from round 1's 34.3/35.3/36.0% for the Paramount-WBD combination that closed 2026-10-06 (WBD 8-K item 2.01): one owner of HBO Max, Paramount+ and two studios bidding for content and sports, and licensed titles at risk. FY2025 29.5% = F10/F3 13,326.6/45,183.0.</t>
        </is>
      </c>
    </row>
    <row r="10">
      <c r="A10" s="41" t="inlineStr">
        <is>
          <t>Tax rate</t>
        </is>
      </c>
      <c r="B10" t="inlineStr">
        <is>
          <t>15.5%</t>
        </is>
      </c>
      <c r="C10" t="inlineStr">
        <is>
          <t>estimate</t>
        </is>
      </c>
      <c r="D10" t="inlineStr">
        <is>
          <t>9, 1</t>
        </is>
      </c>
      <c r="E10" t="inlineStr">
        <is>
          <t>F78, F85</t>
        </is>
      </c>
      <c r="F10" s="41" t="inlineStr">
        <is>
          <t>FY2025 ETR 1,741.4/12,722.6 = 13.7% (F78/F85); TTM ~17% lifted by the taxed WBD termination fee; 15.5% allows for rising global minimum tax.</t>
        </is>
      </c>
    </row>
    <row r="11">
      <c r="A11" s="41" t="inlineStr">
        <is>
          <t>D&amp;A (PP&amp;E only) % revenue</t>
        </is>
      </c>
      <c r="B11" t="inlineStr">
        <is>
          <t>0.8%</t>
        </is>
      </c>
      <c r="C11" t="inlineStr">
        <is>
          <t>estimate</t>
        </is>
      </c>
      <c r="D11" t="inlineStr">
        <is>
          <t>9, 1</t>
        </is>
      </c>
      <c r="E11" t="inlineStr">
        <is>
          <t>F39, F6</t>
        </is>
      </c>
      <c r="F11" s="41" t="inlineStr">
        <is>
          <t>Derived ratio (estimate): TTM D&amp;A 372.4 / TTM revenue 48,370.8 = 0.77% (F39/F6); 9M 2026 306.2 / 37,683.9 = 0.81% (Q3 letter). 0.8% used; content amortisation sits inside EBIT. [gate 2026-10-21]</t>
        </is>
      </c>
    </row>
    <row r="12">
      <c r="A12" s="41" t="inlineStr">
        <is>
          <t>Capex incl. content cash over amortisation, % revenue</t>
        </is>
      </c>
      <c r="B12" t="inlineStr">
        <is>
          <t>7.5% FY26, 4.8% FY27, 4.6% FY28, 4.3% FY29, 4.0% FY30</t>
        </is>
      </c>
      <c r="C12" t="inlineStr">
        <is>
          <t>estimate</t>
        </is>
      </c>
      <c r="D12" t="inlineStr">
        <is>
          <t>1, 9</t>
        </is>
      </c>
      <c r="E12" t="inlineStr">
        <is>
          <t>F57, F60</t>
        </is>
      </c>
      <c r="F12" s="41" t="inlineStr">
        <is>
          <t>Q3 letter 9M 2026: additions to content assets 14,934.2 vs amortisation 12,764.7 = gap 2,169.6 (1.17x); PP&amp;E purchases 693.5. FY26: content gap ~2.4B + PP&amp;E ~0.95B + Q4 real-estate outflow ~0.5B (implied by the FCF outlook cut from $12.5B to ~$12.0B, "due primarily to the expected closing of a real estate transaction in Q4") = ~3.85B = 7.5% of 51.05B. FY27+ toward the ~1.1x guide: gap ~3% + PP&amp;E ~1.8% = 4.8% of revenue, easing to 4.0% as amortisation catches up. [gate 2026-10-21: FY26 corrected from 6.2%, which its own components did not reach (6.6% before the real-estate outflow); FY26 cash flow falls before the 2027-10-20 horizon, so the engine value is unchanged]</t>
        </is>
      </c>
    </row>
    <row r="13">
      <c r="A13" s="41" t="inlineStr">
        <is>
          <t>SBC</t>
        </is>
      </c>
      <c r="B13" t="inlineStr">
        <is>
          <t>~1% of revenue, costed in GAAP EBIT (counted once)</t>
        </is>
      </c>
      <c r="C13" t="inlineStr">
        <is>
          <t>estimate</t>
        </is>
      </c>
      <c r="D13" t="inlineStr">
        <is>
          <t>9, 1</t>
        </is>
      </c>
      <c r="E13" t="inlineStr">
        <is>
          <t>F46</t>
        </is>
      </c>
      <c r="F13" s="41" t="inlineStr">
        <is>
          <t>Derived ratio (estimate): TTM SBC 487.3 (F46) / TTM revenue 48,370.8 (F6) = 1.0%; 9M 2026 405.4 / 37,683.9 = 1.08% (Q3 letter); FY2025 368.4 / 45,183.0 = 0.82%. ~1% used; no add-back (counted once in GAAP EBIT); share count change is net of issuance. [gate 2026-10-21]</t>
        </is>
      </c>
    </row>
    <row r="14">
      <c r="A14" s="41" t="inlineStr">
        <is>
          <t>WACC</t>
        </is>
      </c>
      <c r="B14" t="inlineStr">
        <is>
          <t>9.4%</t>
        </is>
      </c>
      <c r="C14" t="inlineStr">
        <is>
          <t>estimate</t>
        </is>
      </c>
      <c r="D14" t="inlineStr">
        <is>
          <t>5, 9, 10</t>
        </is>
      </c>
      <c r="E14" t="inlineStr">
        <is>
          <t>F74</t>
        </is>
      </c>
      <c r="F14" s="41" t="inlineStr">
        <is>
          <t>Cost of equity 5.12% (10y UST, Treasury par curve 2026-10-20, opened) + beta 1.0 x ERP 4.5% = 9.62%. Beta: weekly NFLX vs SPY regressions (round-1 supervisor scratch and agents 2-5 independently) 0.91-0.92 2y, 1.04 3y, 1.40-1.43 5y (2022-dominated). Debt: TTM interest 847.5 (F74) / ~15.1B = 5.6% x (1-0.155) = 4.73%; weights 94.7% equity (64.89 x 4,195M = 272.2B) / 5.3% debt (15.13B) -&gt; 9.36%, rounded 9.4%.</t>
        </is>
      </c>
    </row>
    <row r="15">
      <c r="A15" s="41" t="inlineStr">
        <is>
          <t>Terminal growth</t>
        </is>
      </c>
      <c r="B15" t="inlineStr">
        <is>
          <t>3.0% (Gordon on FY2030)</t>
        </is>
      </c>
      <c r="C15" t="inlineStr">
        <is>
          <t>judgment</t>
        </is>
      </c>
      <c r="D15" t="inlineStr"/>
      <c r="E15" t="inlineStr"/>
      <c r="F15" s="41" t="inlineStr">
        <is>
          <t>Nominal-GDP-like after FY30 growth of ~6.6%; held at 3% for the attention-share and content-cost risks in long_dated_review.</t>
        </is>
      </c>
    </row>
    <row r="16">
      <c r="A16" s="41" t="inlineStr">
        <is>
          <t>Net debt now / at horizon</t>
        </is>
      </c>
      <c r="B16" t="inlineStr">
        <is>
          <t>$7,114M (2026-09-30) / $7,500M</t>
        </is>
      </c>
      <c r="C16" t="inlineStr">
        <is>
          <t>estimate</t>
        </is>
      </c>
      <c r="D16" t="inlineStr">
        <is>
          <t>1</t>
        </is>
      </c>
      <c r="E16" t="inlineStr"/>
      <c r="F16" s="41" t="inlineStr">
        <is>
          <t>Q3 letter: cash 8,194.3, debt 15,132.4 on the balance sheet (letter text says $15.3B), net debt 7,113.9. Horizon: FCF (~$12B FY26 guide) returned via buybacks ($22.3B authorisation left), plus the Q4 real-estate outflow: ~$7.5B (estimate).</t>
        </is>
      </c>
    </row>
    <row r="17">
      <c r="A17" s="41" t="inlineStr">
        <is>
          <t>Diluted shares now and annual change</t>
        </is>
      </c>
      <c r="B17" t="inlineStr">
        <is>
          <t>4,195.1M; -3.0% a year</t>
        </is>
      </c>
      <c r="C17" t="inlineStr">
        <is>
          <t>estimate</t>
        </is>
      </c>
      <c r="D17" t="inlineStr">
        <is>
          <t>1, 9</t>
        </is>
      </c>
      <c r="E17" t="inlineStr">
        <is>
          <t>F28, F29, F30, F67</t>
        </is>
      </c>
      <c r="F17" s="41" t="inlineStr">
        <is>
          <t>Q3 diluted weighted 4,195,127K (Q3 letter). Q3 bought 63.9M shares for $4.8B (avg ~$75). ~$12B a year at ~$65-70 retires ~4.3%, less ~0.9%/yr issuance (FY2024-&gt;FY2025 diluted only -1.1%, F29/F30, when buybacks were $9.1B at ~2x today's price) -&gt; ~-3.3%; -3.0% allows for part of FCF going to the real-estate deal and debt maturities.</t>
        </is>
      </c>
    </row>
    <row r="18">
      <c r="A18" s="41" t="inlineStr">
        <is>
          <t>Horizon P/E (NTM GAAP)</t>
        </is>
      </c>
      <c r="B18" t="inlineStr">
        <is>
          <t>19.07x</t>
        </is>
      </c>
      <c r="C18" t="inlineStr">
        <is>
          <t>judgment</t>
        </is>
      </c>
      <c r="D18" t="inlineStr">
        <is>
          <t>6, 7, 19, 20, 21, 22, 23, 24, 25, 26, 27, 28, 29, 30, 31</t>
        </is>
      </c>
      <c r="E18" t="inlineStr">
        <is>
          <t>DIS.pe_ntm_rb, SONY.pe_ntm_rb, META.pe_ntm_rb, GOOGL.pe_ntm_rb, AMZN.pe_ntm_rb, SPOT.pe_ntm_rb, NFLX.pe_ntm_rb</t>
        </is>
      </c>
      <c r="F18" s="41" t="inlineStr">
        <is>
          <t>Six peers on one EPS basis with NFLX (GAAP/IFRS, SBC costed, one-offs and stake marks out; Zacks actuals checked against each company's GAAP diluted EPS, peers.md 'EPS basis' and 'Rebuilt FY1 basis'). FY1 = reported quarters + remaining quarterly consensus for every name but SONY (yearly FY3/2027 consensus; its quarterly page has 2 rows of 1 estimate); NTM = fiscal-year blend (weight = days from last filed quarter to FY end / 365); Yahoo 2026-10-23 closes. DIS 16.50 (112.52 / 6.820: Zacks is Disney adjusted EPS, less acquisition amortization 4 x 0.13, 8-K ex. 99.1), SONY 17.86 (26.08 / 1.460, IFRS, USD per ADR), META 19.64 (642.62 / (0.252 x 29.14 + 0.748 x 33.93 = 32.723); FY1 = 7.31 + 6.18 + 7.40 + Q4 8.25), GOOGL 24.00 (320.21 / (0.504 x 11.679 + 0.496 x 15.03 = 13.341); FY1 ex equity-securities gains from 10-Q XBRL), AMZN 26.63 (248.00 / (0.504 x 8.00 + 0.496 x 10.65 = 9.314)), SPOT 36.28 (584.22 / (0.252 x 12.79 + 0.748 x 17.22 = 16.103); USD: Q3 Zacks 2.85 = 6-K EUR 2.48 x 1.149; FY1 less the Q1 EUR 184M Exchangeable Notes fair-value gain, 0.79 a share after tax, Q1 6-K). Median (19.64 + 24.00) / 2 = 21.82x. NFLX own NTM on the same basis: 65.85 / (0.252 x 3.04 + 0.748 x 3.75 = 3.571) = 18.44x (FY2026 3.04 = Zacks actuals 0.70 + 0.80 + 0.87 + Q4 0.67; the yearly 3.59 still carries the Q1 one-off, GAAP Q1 1.23). Exit multiple by the default rule (METHOD.md Peer comparables, Kilian card 2026-10-26 12:16Z): median x (own / median)^0.8 = 21.82 x (18.44 / 21.82)^0.8 = 19.07x. k = 0.8 kept: NFLX's own multiple sits on a clean (one-off-free) EPS base and its earnings are not contracted. Context: 2-year consensus EPS CAGR NFLX 20.7% vs peer median 21.1%, so growth does not explain the gap; the rule keeps ~80% of it, as the WRDS test finds gaps persist. Replaces 18.0x on the old set (FOXA, WMG, TKO in) per Kilian 2026-10-26 06:07Z. [gate 2026-10-26: rounds 1-3 fixed SPOT Q1 Exchangeable Notes mark; rounds 1-2 fixed GOOGL period/stake gains, DIS adjusted EPS and NFLX's FY2026 one-off; earlier growth-line values 18.7x / 19.2x superseded by the 12:16Z rule]</t>
        </is>
      </c>
    </row>
    <row r="19">
      <c r="A19" s="41" t="inlineStr">
        <is>
          <t>M&amp;A value leakage adjustment</t>
        </is>
      </c>
      <c r="B19" t="inlineStr">
        <is>
          <t>-$4,000M x 0.20</t>
        </is>
      </c>
      <c r="C19" t="inlineStr">
        <is>
          <t>judgment</t>
        </is>
      </c>
      <c r="D19" t="inlineStr">
        <is>
          <t>3, 8</t>
        </is>
      </c>
      <c r="E19" t="inlineStr"/>
      <c r="F19" s="41" t="inlineStr">
        <is>
          <t>Netflix signed an ~$83B WBD agreement in late 2025 and withdrew; WBD is now owned by Skydance (8-K 2026-10-06), so the largest target is gone; nothing on M&amp;A on the Q3 call. 20% chance over the horizon of a deal destroying ~$4B (~1.4% of EV).</t>
        </is>
      </c>
    </row>
    <row r="20">
      <c r="A20" s="41" t="inlineStr">
        <is>
          <t>Capex (driver-linked)</t>
        </is>
      </c>
      <c r="B20" t="inlineStr">
        <is>
          <t>0.10 x content_amort + 1.9% of revenue</t>
        </is>
      </c>
      <c r="C20" t="inlineStr">
        <is>
          <t>estimate</t>
        </is>
      </c>
      <c r="D20" t="inlineStr">
        <is>
          <t>1, 9</t>
        </is>
      </c>
      <c r="E20" t="inlineStr">
        <is>
          <t>F57, F60</t>
        </is>
      </c>
      <c r="F20" s="41" t="inlineStr">
        <is>
          <t>Content cash over amortization at the ~1.1x guide (Q3 2026 letter) + PP&amp;E ~1.9% of revenue (9M26 693.5 / 37,683.9 = 1.84%). FY26 real-estate outflow (~0.5B) not modeled: net_debt_horizon is stated, so capex does not move the P/E leg.</t>
        </is>
      </c>
    </row>
    <row r="21">
      <c r="A21" s="41" t="inlineStr">
        <is>
          <t>driver:sub_rev</t>
        </is>
      </c>
      <c r="B21" t="inlineStr">
        <is>
          <t>Subscription (streaming ex-ads) revenue: 4.368e+04 -&gt; 4.84e+04/5.242e+04/5.609e+04 (estimate)</t>
        </is>
      </c>
      <c r="C21" t="inlineStr">
        <is>
          <t>estimate</t>
        </is>
      </c>
      <c r="D21" t="inlineStr"/>
      <c r="E21" t="inlineStr"/>
      <c r="F21" s="41" t="inlineStr">
        <is>
          <t>Base 45,183.0 - 1,500 = 43,683 (ads are a floor, so subscription is a ceiling within ~1%). FY26 51,100 - 2,700 = 48,400 (+10.8%; letter: "subscription revenue growth has outperformed our expectations"). FY27 +8.3%, FY28 +7.0%: subscription growth ran ~+13.8% in FY25 (FY24 ads ~0.6B = 1.5B / 2.5x, both letter figures are bounds; FY24 sub ~39,001.0 (F2) - 600 = 38,401; 43,683 / 38,401 = +13.8%) and +10.8% in FY26, ~3pt deceleration as the 2025-26 price rises lap; FY27 -2.5pt, FY28 -1.3pt. Members x ARM not citable: Netflix stopped quarterly member counts in 2025 (only the "325M paid memberships" milestone, Q4 2025 letter).</t>
        </is>
      </c>
    </row>
    <row r="22">
      <c r="A22" s="41" t="inlineStr">
        <is>
          <t>driver:ad_rev</t>
        </is>
      </c>
      <c r="B22" t="inlineStr">
        <is>
          <t>Advertising revenue: 1,500 -&gt; 2,700/3,900/5,050 (estimate)</t>
        </is>
      </c>
      <c r="C22" t="inlineStr">
        <is>
          <t>estimate</t>
        </is>
      </c>
      <c r="D22" t="inlineStr"/>
      <c r="E22" t="inlineStr"/>
      <c r="F22" s="41" t="inlineStr">
        <is>
          <t>FY26 2,700 (primary guide, +80%). FY27 3,900 = +44% (supervisor base story; ad tier into 15 new countries from March 2027, Q3 2026 letter; WARC: Netflix share of global CTV ad spend 3.7% 2025 -&gt; 9.2% 2027). FY28 5,050 = +29.5% (agent DCF path 1.5B x 1.8 x 1.44 x 1.3).</t>
        </is>
      </c>
    </row>
    <row r="23">
      <c r="A23" s="41" t="inlineStr">
        <is>
          <t>driver:content_amort</t>
        </is>
      </c>
      <c r="B23" t="inlineStr">
        <is>
          <t>Content amortization: 1.642e+04 -&gt; 1.8e+04/1.962e+04/2.119e+04 (estimate)</t>
        </is>
      </c>
      <c r="C23" t="inlineStr">
        <is>
          <t>estimate</t>
        </is>
      </c>
      <c r="D23" t="inlineStr"/>
      <c r="E23" t="inlineStr"/>
      <c r="F23" s="41" t="inlineStr">
        <is>
          <t>FY26 18,000 = 9M 12,764.7 + Q4 ~5,235 (+9.9% y/y on 4,764.2), i.e. +9.6% vs the "~10% in 2026" guide (Q4 2025 letter). FY27 +9%, FY28 +8%: cash content additions 9M26 14,934.2 vs 12,039.4 (+24%) and the ~1.1x cash/amortization ratio (FY26 cash ~19.8B, +16% on FY25 17,096.6) mean amortization keeps growing near revenue, not below it; FY24-26 amortization growth +7.8%/+7.3%/+9.6% while revenue growth fell 16% -&gt; 13%.</t>
        </is>
      </c>
    </row>
    <row r="24">
      <c r="A24" s="41" t="inlineStr">
        <is>
          <t>driver:other_opex</t>
        </is>
      </c>
      <c r="B24" t="inlineStr">
        <is>
          <t>Other operating costs (cost of revenues ex-amortization + marketing + tech &amp; dev + G&amp;A): 1.543e+04 -&gt; 1.7e+04/1.845e+04/1.993e+04 (estimate)</t>
        </is>
      </c>
      <c r="C24" t="inlineStr">
        <is>
          <t>estimate</t>
        </is>
      </c>
      <c r="D24" t="inlineStr"/>
      <c r="E24" t="inlineStr"/>
      <c r="F24" s="41" t="inlineStr">
        <is>
          <t>FY26 17,004 = 51,100 - 31.5% x 51,100 (guide, 16,096.5) - 18,000 (content_amort): +10.2% reported, +13.7% ex the FY25 Brazil 619 and the ~153 Q4 headcount charge (~30bp of FY26 revenue, Q3 2026 letter); 9M26 12,311.0 vs 11,104.4 (+10.9%; +17.4% ex Brazil). FY27 = (17,004 - 153) x 1.095 = 18,452: growth slows from ~14% underlying as the headcount cut lands, but savings are reinvested ("enable us to continue to aggressively invest", Q3 letter). FY28 +8%.</t>
        </is>
      </c>
    </row>
    <row r="26">
      <c r="A26" s="3" t="inlineStr">
        <is>
          <t>#</t>
        </is>
      </c>
      <c r="B26" s="3" t="inlineStr">
        <is>
          <t>Source</t>
        </is>
      </c>
      <c r="C26" s="3" t="inlineStr">
        <is>
          <t>Date</t>
        </is>
      </c>
      <c r="D26" s="3" t="inlineStr">
        <is>
          <t>Link</t>
        </is>
      </c>
    </row>
    <row r="27">
      <c r="A27" t="n">
        <v>1</v>
      </c>
      <c r="B27" s="41" t="inlineStr">
        <is>
          <t>Netflix Q3 2026 shareholder letter (8-K Ex. 99.1)</t>
        </is>
      </c>
      <c r="C27" t="inlineStr">
        <is>
          <t>2026-10-20</t>
        </is>
      </c>
      <c r="D27" t="inlineStr">
        <is>
          <t>https://www.sec.gov/Archives/edgar/data/1065280/000106528026000290/ex991_q326.htm</t>
        </is>
      </c>
    </row>
    <row r="28">
      <c r="A28" t="n">
        <v>2</v>
      </c>
      <c r="B28" s="41" t="inlineStr">
        <is>
          <t>Netflix 10-K FY2025</t>
        </is>
      </c>
      <c r="C28" t="inlineStr">
        <is>
          <t>2026-01-23</t>
        </is>
      </c>
      <c r="D28" t="inlineStr">
        <is>
          <t>https://www.sec.gov/Archives/edgar/data/1065280/000106528026000034/nflx-20251231.htm</t>
        </is>
      </c>
    </row>
    <row r="29">
      <c r="A29" t="n">
        <v>3</v>
      </c>
      <c r="B29" s="41" t="inlineStr">
        <is>
          <t>Warner Bros. Discovery 8-K: completion of merger with Skydance Corporation (items 2.01, 3.01, 5.01)</t>
        </is>
      </c>
      <c r="C29" t="inlineStr">
        <is>
          <t>2026-10-06</t>
        </is>
      </c>
      <c r="D29" t="inlineStr">
        <is>
          <t>https://www.sec.gov/Archives/edgar/data/1437107/000119312526415055/d200872d8k.htm</t>
        </is>
      </c>
    </row>
    <row r="30">
      <c r="A30" t="n">
        <v>4</v>
      </c>
      <c r="B30" s="41" t="inlineStr">
        <is>
          <t>AP: Judge approves Paramount's settlement with states over Warner buyout, allowing merger to soon close (via NY1)</t>
        </is>
      </c>
      <c r="C30" t="inlineStr">
        <is>
          <t>2026-09-30</t>
        </is>
      </c>
      <c r="D30" t="inlineStr">
        <is>
          <t>https://ny1.com/nyc/all-boroughs/ap-top-news/2026/09/30/judge-approves-paramounts-settlement-with-states-over-warner-buyout-allowing-merger-to-soon-close</t>
        </is>
      </c>
    </row>
    <row r="31">
      <c r="A31" t="n">
        <v>5</v>
      </c>
      <c r="B31" s="41" t="inlineStr">
        <is>
          <t>US Treasury daily par yield curve rates 2026</t>
        </is>
      </c>
      <c r="C31" t="inlineStr">
        <is>
          <t>2026-10-20</t>
        </is>
      </c>
      <c r="D31" t="inlineStr">
        <is>
          <t>https://home.treasury.gov/resource-center/data-chart-center/interest-rates/daily-treasury-rates.csv/2026/all?type=daily_treasury_yield_curve&amp;field_tdr_date_value=2026&amp;page&amp;_format=csv</t>
        </is>
      </c>
    </row>
    <row r="32">
      <c r="A32" t="n">
        <v>6</v>
      </c>
      <c r="B32" s="41" t="inlineStr">
        <is>
          <t>Nasdaq/Zacks NFLX earnings forecast</t>
        </is>
      </c>
      <c r="C32" t="inlineStr">
        <is>
          <t>2026-10-20</t>
        </is>
      </c>
      <c r="D32" t="inlineStr">
        <is>
          <t>https://api.nasdaq.com/api/analyst/NFLX/earnings-forecast</t>
        </is>
      </c>
    </row>
    <row r="33">
      <c r="A33" t="n">
        <v>7</v>
      </c>
      <c r="B33" s="41" t="inlineStr">
        <is>
          <t>Nasdaq/Zacks peer earnings forecasts (DIS, META, AMZN, GOOGL, SPOT, TKO, WMG, FOXA)</t>
        </is>
      </c>
      <c r="C33" t="inlineStr">
        <is>
          <t>2026-10-20</t>
        </is>
      </c>
      <c r="D33" t="inlineStr">
        <is>
          <t>https://api.nasdaq.com/api/analyst/META/earnings-forecast</t>
        </is>
      </c>
    </row>
    <row r="34">
      <c r="A34" t="n">
        <v>8</v>
      </c>
      <c r="B34" s="41" t="inlineStr">
        <is>
          <t>Netflix Q3 2026 earnings call transcript (Investing.com)</t>
        </is>
      </c>
      <c r="C34" t="inlineStr">
        <is>
          <t>2026-10-20</t>
        </is>
      </c>
      <c r="D34" t="inlineStr">
        <is>
          <t>https://www.investing.com/news/transcripts/earnings-call-transcript-netflix-beats-q3-2026-estimates-but-shares-fall-after-hours-93CH-4961240</t>
        </is>
      </c>
    </row>
    <row r="35">
      <c r="A35" t="n">
        <v>9</v>
      </c>
      <c r="B35" s="41" t="inlineStr">
        <is>
          <t>SEC XBRL company facts, Netflix (run fact pack facts.md)</t>
        </is>
      </c>
      <c r="C35" t="inlineStr">
        <is>
          <t>2026-10-20</t>
        </is>
      </c>
      <c r="D35" t="inlineStr">
        <is>
          <t>https://data.sec.gov/api/xbrl/companyfacts/CIK0001065280.json</t>
        </is>
      </c>
    </row>
    <row r="36">
      <c r="A36" t="n">
        <v>10</v>
      </c>
      <c r="B36" s="41" t="inlineStr">
        <is>
          <t>Yahoo Finance chart feed, NFLX (regularMarketPrice 68.69 = 2026-10-20 close; fulldayPrice 64.89 = extended-hours price), record retrieved 2026-10-20 23:12Z and saved as runs/2026-10-20/NFLX/work_agent_2/y_NFLX.json; close also confirmed by Twelve Data daily series</t>
        </is>
      </c>
      <c r="C36" t="inlineStr">
        <is>
          <t>2026-10-20</t>
        </is>
      </c>
      <c r="D36" t="inlineStr">
        <is>
          <t>https://query1.finance.yahoo.com/v8/finance/chart/NFLX</t>
        </is>
      </c>
    </row>
    <row r="37">
      <c r="A37" t="n">
        <v>11</v>
      </c>
      <c r="B37" s="41" t="inlineStr">
        <is>
          <t>Warner Bros. Discovery EDGAR filing index (S-8 POS and 25-NSE 2026-10-06, 15-12G 2026-10-16)</t>
        </is>
      </c>
      <c r="C37" t="inlineStr">
        <is>
          <t>2026-10-16</t>
        </is>
      </c>
      <c r="D37" t="inlineStr">
        <is>
          <t>https://data.sec.gov/submissions/CIK0001437107.json</t>
        </is>
      </c>
    </row>
    <row r="38">
      <c r="A38" t="n">
        <v>12</v>
      </c>
      <c r="B38" s="41" t="inlineStr">
        <is>
          <t>Run peer comps table peers.md (peers.py: trailing multiples from SEC XBRL via secfacts.py; NTM P/E = Yahoo close / NTM fiscal-year blend of Nasdaq.com/Zacks consensus EPS); cited by fact id</t>
        </is>
      </c>
      <c r="C38" t="inlineStr">
        <is>
          <t>2026-10-20</t>
        </is>
      </c>
      <c r="D38" t="inlineStr">
        <is>
          <t>runs/2026-10-20/NFLX/peers.md</t>
        </is>
      </c>
    </row>
    <row r="39">
      <c r="A39" t="n">
        <v>13</v>
      </c>
      <c r="B39" s="41" t="inlineStr">
        <is>
          <t>Roku EDGAR filing index (Fox merger: DEFM14A 2026-09-01, 8-K and 425 2026-10-06)</t>
        </is>
      </c>
      <c r="C39" t="inlineStr">
        <is>
          <t>2026-10-15</t>
        </is>
      </c>
      <c r="D39" t="inlineStr">
        <is>
          <t>https://data.sec.gov/submissions/CIK0001428439.json</t>
        </is>
      </c>
    </row>
    <row r="40">
      <c r="A40" t="n">
        <v>14</v>
      </c>
      <c r="B40" s="41" t="inlineStr">
        <is>
          <t>Fox Corp EDGAR filing index (S-4 2026-08-07, S-4/A 2026-08-21: Fox-Roku merger)</t>
        </is>
      </c>
      <c r="C40" t="inlineStr">
        <is>
          <t>2026-10-21</t>
        </is>
      </c>
      <c r="D40" t="inlineStr">
        <is>
          <t>https://data.sec.gov/submissions/CIK0001754301.json</t>
        </is>
      </c>
    </row>
    <row r="41">
      <c r="A41" t="n">
        <v>15</v>
      </c>
      <c r="B41" s="41" t="inlineStr">
        <is>
          <t>StockAnalysis.com Netflix forecast (Revenue Next Year $56.96B, EPS Next Year $3.80; pre-print)</t>
        </is>
      </c>
      <c r="C41" t="inlineStr">
        <is>
          <t>2026-10-19</t>
        </is>
      </c>
      <c r="D41" t="inlineStr">
        <is>
          <t>https://stockanalysis.com/stocks/nflx/forecast/</t>
        </is>
      </c>
    </row>
    <row r="42">
      <c r="A42" t="n">
        <v>16</v>
      </c>
      <c r="B42" s="41" t="inlineStr">
        <is>
          <t>MediaPost (Wayne Friedman, 2026-08-18): Nielsen June 2026 Gauge, Netflix 7.9% from 8.3%, YouTube 13.5% vs 12.8% a year ago</t>
        </is>
      </c>
      <c r="C42" t="inlineStr">
        <is>
          <t>2026-08-18</t>
        </is>
      </c>
      <c r="D42" t="inlineStr">
        <is>
          <t>https://www.mediapost.com/publications/article/417308/</t>
        </is>
      </c>
    </row>
    <row r="43">
      <c r="A43" t="n">
        <v>17</v>
      </c>
      <c r="B43" s="41" t="inlineStr">
        <is>
          <t>Nielsen: June 2025 Media Distributor Gauge (Netflix 8.3% of June 2025 TV usage)</t>
        </is>
      </c>
      <c r="C43" t="inlineStr">
        <is>
          <t>2025-07-22</t>
        </is>
      </c>
      <c r="D43" t="inlineStr">
        <is>
          <t>https://www.nielsen.com/news-center/2025/netflix-breaks-into-top-3-media-distributors-for-the-first-time-in-nielsens-june-2025-media-distributor-gauge/</t>
        </is>
      </c>
    </row>
    <row r="44">
      <c r="A44" t="n">
        <v>18</v>
      </c>
      <c r="B44" s="41" t="inlineStr">
        <is>
          <t>Nielsen: July 2026 Gauge (YouTube a record 14.2% of TV)</t>
        </is>
      </c>
      <c r="C44" t="inlineStr">
        <is>
          <t>2026-09-10</t>
        </is>
      </c>
      <c r="D44" t="inlineStr">
        <is>
          <t>https://www.nielsen.com/news-center/2026/tv-usage-kicks-usual-summer-slowdown-fueled-by-world-cup-and-streaming-in-nielsens-july-gauge-reports/</t>
        </is>
      </c>
    </row>
    <row r="45">
      <c r="A45" t="n">
        <v>19</v>
      </c>
      <c r="B45" s="41" t="inlineStr">
        <is>
          <t>Nasdaq/Zacks SPOT earnings forecast (FY2026 13.64, FY2027 17.22; retrieved 2026-10-26)</t>
        </is>
      </c>
      <c r="C45" t="inlineStr">
        <is>
          <t>2026-10-26</t>
        </is>
      </c>
      <c r="D45" t="inlineStr">
        <is>
          <t>https://api.nasdaq.com/api/analyst/SPOT/earnings-forecast</t>
        </is>
      </c>
    </row>
    <row r="46">
      <c r="A46" t="n">
        <v>20</v>
      </c>
      <c r="B46" s="41" t="inlineStr">
        <is>
          <t>Nasdaq/Zacks SONY earnings forecast (FY3/2027 1.45, FY3/2028 1.49 per ADR; retrieved 2026-10-26)</t>
        </is>
      </c>
      <c r="C46" t="inlineStr">
        <is>
          <t>2026-10-26</t>
        </is>
      </c>
      <c r="D46" t="inlineStr">
        <is>
          <t>https://api.nasdaq.com/api/analyst/SONY/earnings-forecast</t>
        </is>
      </c>
    </row>
    <row r="47">
      <c r="A47" t="n">
        <v>21</v>
      </c>
      <c r="B47" s="41" t="inlineStr">
        <is>
          <t>Spotify 6-K, Q3 2026 interim report (diluted EPS EUR 2.48)</t>
        </is>
      </c>
      <c r="C47" t="inlineStr">
        <is>
          <t>2026-10-22</t>
        </is>
      </c>
      <c r="D47" t="inlineStr">
        <is>
          <t>https://www.sec.gov/Archives/edgar/data/1639920/000162828026066889/spot-20260930x6xk.htm</t>
        </is>
      </c>
    </row>
    <row r="48">
      <c r="A48" t="n">
        <v>22</v>
      </c>
      <c r="B48" s="41" t="inlineStr">
        <is>
          <t>Sony Group 6-K, Q1 FY2026 results (diluted EPS JPY 57.82)</t>
        </is>
      </c>
      <c r="C48" t="inlineStr">
        <is>
          <t>2026-07-31</t>
        </is>
      </c>
      <c r="D48" t="inlineStr">
        <is>
          <t>https://www.sec.gov/Archives/edgar/data/313838/000110465926088915/tm2621477d1_6k.htm</t>
        </is>
      </c>
    </row>
    <row r="49">
      <c r="A49" t="n">
        <v>23</v>
      </c>
      <c r="B49" s="41" t="inlineStr">
        <is>
          <t>Nasdaq/Zacks earnings surprise pages SPOT (Q3 2026 actual 2.85) and SONY (Jun 2026 quarter actual 0.36)</t>
        </is>
      </c>
      <c r="C49" t="inlineStr">
        <is>
          <t>2026-10-26</t>
        </is>
      </c>
      <c r="D49" t="inlineStr">
        <is>
          <t>https://api.nasdaq.com/api/company/SPOT/earnings-surprise</t>
        </is>
      </c>
    </row>
    <row r="50">
      <c r="A50" t="n">
        <v>24</v>
      </c>
      <c r="B50" s="41" t="inlineStr">
        <is>
          <t>Yahoo chart feed EURUSD=X and JPY=X month-end closes, Mar-Sep 2026</t>
        </is>
      </c>
      <c r="C50" t="inlineStr">
        <is>
          <t>2026-10-26</t>
        </is>
      </c>
      <c r="D50" t="inlineStr">
        <is>
          <t>https://query1.finance.yahoo.com/v8/finance/chart/JPY=X</t>
        </is>
      </c>
    </row>
    <row r="51">
      <c r="A51" t="n">
        <v>25</v>
      </c>
      <c r="B51" s="41" t="inlineStr">
        <is>
          <t>Update-round peer comps table runs/2026-10-23/NFLX/peers.md (peers.py, 2026-10-23 closes, Nasdaq.com/Zacks EPS; SPOT/SONY hand rows; GOOGL FY2027 basis)</t>
        </is>
      </c>
      <c r="C51" t="inlineStr">
        <is>
          <t>2026-10-26</t>
        </is>
      </c>
      <c r="D51" t="inlineStr">
        <is>
          <t>runs/2026-10-23/NFLX/peers.md</t>
        </is>
      </c>
    </row>
    <row r="52">
      <c r="A52" t="n">
        <v>26</v>
      </c>
      <c r="B52" s="41" t="inlineStr">
        <is>
          <t>Nasdaq/Zacks DIS, META, AMZN, GOOGL earnings forecasts (retrieved 2026-10-26)</t>
        </is>
      </c>
      <c r="C52" t="inlineStr">
        <is>
          <t>2026-10-26</t>
        </is>
      </c>
      <c r="D52" t="inlineStr">
        <is>
          <t>https://api.nasdaq.com/api/analyst/GOOGL/earnings-forecast</t>
        </is>
      </c>
    </row>
    <row r="53">
      <c r="A53" t="n">
        <v>27</v>
      </c>
      <c r="B53" s="41" t="inlineStr">
        <is>
          <t>Disney 8-K ex. 99.1, Q3 FY2026 results: reconciliation of diluted EPS to EPS excluding certain items (acquisition amortization $0.13)</t>
        </is>
      </c>
      <c r="C53" t="inlineStr">
        <is>
          <t>2026-08-05</t>
        </is>
      </c>
      <c r="D53" t="inlineStr">
        <is>
          <t>https://www.sec.gov/Archives/edgar/data/1744489/000174448926000056/fy2026_q3xerxex991.htm</t>
        </is>
      </c>
    </row>
    <row r="54">
      <c r="A54" t="n">
        <v>28</v>
      </c>
      <c r="B54" s="41" t="inlineStr">
        <is>
          <t>SEC XBRL company facts, Alphabet (Q1/Q2 2026 NetIncomeLoss, EquitySecuritiesFvNiGainLoss, diluted shares)</t>
        </is>
      </c>
      <c r="C54" t="inlineStr">
        <is>
          <t>2026-10-26</t>
        </is>
      </c>
      <c r="D54" t="inlineStr">
        <is>
          <t>https://data.sec.gov/api/xbrl/companyfacts/CIK0001652044.json</t>
        </is>
      </c>
    </row>
    <row r="55">
      <c r="A55" t="n">
        <v>29</v>
      </c>
      <c r="B55" s="41" t="inlineStr">
        <is>
          <t>Nasdaq/Zacks earnings surprise pages NFLX, DIS, META, AMZN, GOOGL (Zacks actual EPS basis vs GAAP)</t>
        </is>
      </c>
      <c r="C55" t="inlineStr">
        <is>
          <t>2026-10-26</t>
        </is>
      </c>
      <c r="D55" t="inlineStr">
        <is>
          <t>https://api.nasdaq.com/api/company/GOOGL/earnings-surprise</t>
        </is>
      </c>
    </row>
    <row r="56">
      <c r="A56" t="n">
        <v>30</v>
      </c>
      <c r="B56" s="41" t="inlineStr">
        <is>
          <t>SEC XBRL EarningsPerShareDiluted (companyconcept) for NFLX, DIS, META, AMZN, GOOGL, 2025-2026 quarters</t>
        </is>
      </c>
      <c r="C56" t="inlineStr">
        <is>
          <t>2026-10-26</t>
        </is>
      </c>
      <c r="D56" t="inlineStr">
        <is>
          <t>https://data.sec.gov/api/xbrl/companyconcept/CIK0001326801/us-gaap/EarningsPerShareDiluted.json</t>
        </is>
      </c>
    </row>
    <row r="57">
      <c r="A57" t="n">
        <v>31</v>
      </c>
      <c r="B57" s="41" t="inlineStr">
        <is>
          <t>METHOD.md Peer comparables: exit multiple = peer median x (own/median)^0.8 (Kilian card 2026-10-26 12:16Z; WRDS test wrds/results/exit_multiple_shrink/README.md)</t>
        </is>
      </c>
      <c r="C57" t="inlineStr">
        <is>
          <t>2026-10-26</t>
        </is>
      </c>
      <c r="D57" t="inlineStr">
        <is>
          <t>METHOD.md</t>
        </is>
      </c>
    </row>
    <row r="59">
      <c r="A59" s="3" t="inlineStr">
        <is>
          <t>Fact id</t>
        </is>
      </c>
      <c r="B59" s="3" t="inlineStr">
        <is>
          <t>Figure</t>
        </is>
      </c>
      <c r="C59" s="3" t="inlineStr">
        <is>
          <t>Value</t>
        </is>
      </c>
      <c r="D59" s="3" t="inlineStr">
        <is>
          <t>Filing</t>
        </is>
      </c>
    </row>
    <row r="60">
      <c r="A60" t="inlineStr">
        <is>
          <t>F1</t>
        </is>
      </c>
      <c r="B60" t="inlineStr">
        <is>
          <t>revenue FY ending 2023-12-31 (us-gaap:Revenues)</t>
        </is>
      </c>
      <c r="C60" s="47" t="n">
        <v>33723297000</v>
      </c>
      <c r="D60" t="inlineStr">
        <is>
          <t>https://www.sec.gov/Archives/edgar/data/1065280/000106528026000034/</t>
        </is>
      </c>
    </row>
    <row r="61">
      <c r="A61" t="inlineStr">
        <is>
          <t>F2</t>
        </is>
      </c>
      <c r="B61" t="inlineStr">
        <is>
          <t>revenue FY ending 2024-12-31 (us-gaap:Revenues)</t>
        </is>
      </c>
      <c r="C61" s="47" t="n">
        <v>39000966000</v>
      </c>
      <c r="D61" t="inlineStr">
        <is>
          <t>https://www.sec.gov/Archives/edgar/data/1065280/000106528026000034/</t>
        </is>
      </c>
    </row>
    <row r="62">
      <c r="A62" t="inlineStr">
        <is>
          <t>F3</t>
        </is>
      </c>
      <c r="B62" t="inlineStr">
        <is>
          <t>revenue FY ending 2025-12-31 (us-gaap:Revenues)</t>
        </is>
      </c>
      <c r="C62" s="47" t="n">
        <v>45183036000</v>
      </c>
      <c r="D62" t="inlineStr">
        <is>
          <t>https://www.sec.gov/Archives/edgar/data/1065280/000106528026000034/</t>
        </is>
      </c>
    </row>
    <row r="63">
      <c r="A63" t="inlineStr">
        <is>
          <t>F4</t>
        </is>
      </c>
      <c r="B63" t="inlineStr">
        <is>
          <t>revenue YTD 2026-01-01 to 2026-09-30</t>
        </is>
      </c>
      <c r="C63" s="47" t="n">
        <v>37683871000</v>
      </c>
      <c r="D63" t="inlineStr">
        <is>
          <t>https://www.sec.gov/Archives/edgar/data/1065280/000106528026000291/</t>
        </is>
      </c>
    </row>
    <row r="64">
      <c r="A64" t="inlineStr">
        <is>
          <t>F5</t>
        </is>
      </c>
      <c r="B64" t="inlineStr">
        <is>
          <t>revenue prior-year YTD 2025-01-01 to 2025-09-30</t>
        </is>
      </c>
      <c r="C64" s="47" t="n">
        <v>33132274000</v>
      </c>
      <c r="D64" t="inlineStr">
        <is>
          <t>https://www.sec.gov/Archives/edgar/data/1065280/000106528026000291/</t>
        </is>
      </c>
    </row>
    <row r="65">
      <c r="A65" t="inlineStr">
        <is>
          <t>F6</t>
        </is>
      </c>
      <c r="B65" t="inlineStr">
        <is>
          <t>revenue TTM to 2026-09-30</t>
        </is>
      </c>
      <c r="C65" s="47" t="n">
        <v>49734633000</v>
      </c>
    </row>
    <row r="66">
      <c r="A66" t="inlineStr">
        <is>
          <t>F7</t>
        </is>
      </c>
      <c r="B66" t="inlineStr">
        <is>
          <t>revenue quarter 2026-07-01 to 2026-09-30</t>
        </is>
      </c>
      <c r="C66" s="47" t="n">
        <v>12874176000</v>
      </c>
      <c r="D66" t="inlineStr">
        <is>
          <t>https://www.sec.gov/Archives/edgar/data/1065280/000106528026000291/</t>
        </is>
      </c>
    </row>
    <row r="67">
      <c r="A67" t="inlineStr">
        <is>
          <t>F8</t>
        </is>
      </c>
      <c r="B67" t="inlineStr">
        <is>
          <t>operating_income FY ending 2023-12-31 (us-gaap:OperatingIncomeLoss)</t>
        </is>
      </c>
      <c r="C67" s="47" t="n">
        <v>6954003000</v>
      </c>
      <c r="D67" t="inlineStr">
        <is>
          <t>https://www.sec.gov/Archives/edgar/data/1065280/000106528026000034/</t>
        </is>
      </c>
    </row>
    <row r="68">
      <c r="A68" t="inlineStr">
        <is>
          <t>F9</t>
        </is>
      </c>
      <c r="B68" t="inlineStr">
        <is>
          <t>operating_income FY ending 2024-12-31 (us-gaap:OperatingIncomeLoss)</t>
        </is>
      </c>
      <c r="C68" s="47" t="n">
        <v>10417614000</v>
      </c>
      <c r="D68" t="inlineStr">
        <is>
          <t>https://www.sec.gov/Archives/edgar/data/1065280/000106528026000034/</t>
        </is>
      </c>
    </row>
    <row r="69">
      <c r="A69" t="inlineStr">
        <is>
          <t>F10</t>
        </is>
      </c>
      <c r="B69" t="inlineStr">
        <is>
          <t>operating_income FY ending 2025-12-31 (us-gaap:OperatingIncomeLoss)</t>
        </is>
      </c>
      <c r="C69" s="47" t="n">
        <v>13326603000</v>
      </c>
      <c r="D69" t="inlineStr">
        <is>
          <t>https://www.sec.gov/Archives/edgar/data/1065280/000106528026000034/</t>
        </is>
      </c>
    </row>
    <row r="70">
      <c r="A70" t="inlineStr">
        <is>
          <t>F11</t>
        </is>
      </c>
      <c r="B70" t="inlineStr">
        <is>
          <t>operating_income YTD 2026-01-01 to 2026-09-30</t>
        </is>
      </c>
      <c r="C70" s="47" t="n">
        <v>12608207000</v>
      </c>
      <c r="D70" t="inlineStr">
        <is>
          <t>https://www.sec.gov/Archives/edgar/data/1065280/000106528026000291/</t>
        </is>
      </c>
    </row>
    <row r="71">
      <c r="A71" t="inlineStr">
        <is>
          <t>F12</t>
        </is>
      </c>
      <c r="B71" t="inlineStr">
        <is>
          <t>operating_income prior-year YTD 2025-01-01 to 2025-09-30</t>
        </is>
      </c>
      <c r="C71" s="47" t="n">
        <v>10369940000</v>
      </c>
      <c r="D71" t="inlineStr">
        <is>
          <t>https://www.sec.gov/Archives/edgar/data/1065280/000106528026000291/</t>
        </is>
      </c>
    </row>
    <row r="72">
      <c r="A72" t="inlineStr">
        <is>
          <t>F13</t>
        </is>
      </c>
      <c r="B72" t="inlineStr">
        <is>
          <t>operating_income TTM to 2026-09-30</t>
        </is>
      </c>
      <c r="C72" s="47" t="n">
        <v>15564870000</v>
      </c>
    </row>
    <row r="73">
      <c r="A73" t="inlineStr">
        <is>
          <t>F14</t>
        </is>
      </c>
      <c r="B73" t="inlineStr">
        <is>
          <t>operating_income quarter 2026-07-01 to 2026-09-30</t>
        </is>
      </c>
      <c r="C73" s="47" t="n">
        <v>4458600000</v>
      </c>
      <c r="D73" t="inlineStr">
        <is>
          <t>https://www.sec.gov/Archives/edgar/data/1065280/000106528026000291/</t>
        </is>
      </c>
    </row>
    <row r="74">
      <c r="A74" t="inlineStr">
        <is>
          <t>F15</t>
        </is>
      </c>
      <c r="B74" t="inlineStr">
        <is>
          <t>net_income FY ending 2023-12-31 (us-gaap:NetIncomeLoss)</t>
        </is>
      </c>
      <c r="C74" s="47" t="n">
        <v>5407990000</v>
      </c>
      <c r="D74" t="inlineStr">
        <is>
          <t>https://www.sec.gov/Archives/edgar/data/1065280/000106528026000034/</t>
        </is>
      </c>
    </row>
    <row r="75">
      <c r="A75" t="inlineStr">
        <is>
          <t>F16</t>
        </is>
      </c>
      <c r="B75" t="inlineStr">
        <is>
          <t>net_income FY ending 2024-12-31 (us-gaap:NetIncomeLoss)</t>
        </is>
      </c>
      <c r="C75" s="47" t="n">
        <v>8711631000</v>
      </c>
      <c r="D75" t="inlineStr">
        <is>
          <t>https://www.sec.gov/Archives/edgar/data/1065280/000106528026000034/</t>
        </is>
      </c>
    </row>
    <row r="76">
      <c r="A76" t="inlineStr">
        <is>
          <t>F17</t>
        </is>
      </c>
      <c r="B76" t="inlineStr">
        <is>
          <t>net_income FY ending 2025-12-31 (us-gaap:NetIncomeLoss)</t>
        </is>
      </c>
      <c r="C76" s="47" t="n">
        <v>10981201000</v>
      </c>
      <c r="D76" t="inlineStr">
        <is>
          <t>https://www.sec.gov/Archives/edgar/data/1065280/000106528026000034/</t>
        </is>
      </c>
    </row>
    <row r="77">
      <c r="A77" t="inlineStr">
        <is>
          <t>F18</t>
        </is>
      </c>
      <c r="B77" t="inlineStr">
        <is>
          <t>net_income YTD 2026-01-01 to 2026-09-30</t>
        </is>
      </c>
      <c r="C77" s="47" t="n">
        <v>12348132000</v>
      </c>
      <c r="D77" t="inlineStr">
        <is>
          <t>https://www.sec.gov/Archives/edgar/data/1065280/000106528026000291/</t>
        </is>
      </c>
    </row>
    <row r="78">
      <c r="A78" t="inlineStr">
        <is>
          <t>F19</t>
        </is>
      </c>
      <c r="B78" t="inlineStr">
        <is>
          <t>net_income prior-year YTD 2025-01-01 to 2025-09-30</t>
        </is>
      </c>
      <c r="C78" s="47" t="n">
        <v>8562680000</v>
      </c>
      <c r="D78" t="inlineStr">
        <is>
          <t>https://www.sec.gov/Archives/edgar/data/1065280/000106528026000291/</t>
        </is>
      </c>
    </row>
    <row r="79">
      <c r="A79" t="inlineStr">
        <is>
          <t>F20</t>
        </is>
      </c>
      <c r="B79" t="inlineStr">
        <is>
          <t>net_income TTM to 2026-09-30</t>
        </is>
      </c>
      <c r="C79" s="47" t="n">
        <v>14766653000</v>
      </c>
    </row>
    <row r="80">
      <c r="A80" t="inlineStr">
        <is>
          <t>F21</t>
        </is>
      </c>
      <c r="B80" t="inlineStr">
        <is>
          <t>net_income quarter 2026-07-01 to 2026-09-30</t>
        </is>
      </c>
      <c r="C80" s="47" t="n">
        <v>3663927000</v>
      </c>
      <c r="D80" t="inlineStr">
        <is>
          <t>https://www.sec.gov/Archives/edgar/data/1065280/000106528026000291/</t>
        </is>
      </c>
    </row>
    <row r="81">
      <c r="A81" t="inlineStr">
        <is>
          <t>F22</t>
        </is>
      </c>
      <c r="B81" t="inlineStr">
        <is>
          <t>eps_diluted FY ending 2023-12-31 (us-gaap:EarningsPerShareDiluted)</t>
        </is>
      </c>
      <c r="C81" s="47" t="n">
        <v>1.2</v>
      </c>
      <c r="D81" t="inlineStr">
        <is>
          <t>https://www.sec.gov/Archives/edgar/data/1065280/000106528026000034/</t>
        </is>
      </c>
    </row>
    <row r="82">
      <c r="A82" t="inlineStr">
        <is>
          <t>F23</t>
        </is>
      </c>
      <c r="B82" t="inlineStr">
        <is>
          <t>eps_diluted FY ending 2024-12-31 (us-gaap:EarningsPerShareDiluted)</t>
        </is>
      </c>
      <c r="C82" s="47" t="n">
        <v>1.98</v>
      </c>
      <c r="D82" t="inlineStr">
        <is>
          <t>https://www.sec.gov/Archives/edgar/data/1065280/000106528026000034/</t>
        </is>
      </c>
    </row>
    <row r="83">
      <c r="A83" t="inlineStr">
        <is>
          <t>F24</t>
        </is>
      </c>
      <c r="B83" t="inlineStr">
        <is>
          <t>eps_diluted FY ending 2025-12-31 (us-gaap:EarningsPerShareDiluted)</t>
        </is>
      </c>
      <c r="C83" s="47" t="n">
        <v>2.53</v>
      </c>
      <c r="D83" t="inlineStr">
        <is>
          <t>https://www.sec.gov/Archives/edgar/data/1065280/000106528026000034/</t>
        </is>
      </c>
    </row>
    <row r="84">
      <c r="A84" t="inlineStr">
        <is>
          <t>F25</t>
        </is>
      </c>
      <c r="B84" t="inlineStr">
        <is>
          <t>eps_diluted YTD 2026-01-01 to 2026-09-30</t>
        </is>
      </c>
      <c r="C84" s="47" t="n">
        <v>2.9</v>
      </c>
      <c r="D84" t="inlineStr">
        <is>
          <t>https://www.sec.gov/Archives/edgar/data/1065280/000106528026000291/</t>
        </is>
      </c>
    </row>
    <row r="85">
      <c r="A85" t="inlineStr">
        <is>
          <t>F26</t>
        </is>
      </c>
      <c r="B85" t="inlineStr">
        <is>
          <t>eps_diluted prior-year YTD 2025-01-01 to 2025-09-30</t>
        </is>
      </c>
      <c r="C85" s="47" t="n">
        <v>1.97</v>
      </c>
      <c r="D85" t="inlineStr">
        <is>
          <t>https://www.sec.gov/Archives/edgar/data/1065280/000106528026000291/</t>
        </is>
      </c>
    </row>
    <row r="86">
      <c r="A86" t="inlineStr">
        <is>
          <t>F27</t>
        </is>
      </c>
      <c r="B86" t="inlineStr">
        <is>
          <t>eps_diluted quarter 2026-07-01 to 2026-09-30</t>
        </is>
      </c>
      <c r="C86" s="47" t="n">
        <v>0.87</v>
      </c>
      <c r="D86" t="inlineStr">
        <is>
          <t>https://www.sec.gov/Archives/edgar/data/1065280/000106528026000291/</t>
        </is>
      </c>
    </row>
    <row r="87">
      <c r="A87" t="inlineStr">
        <is>
          <t>F28</t>
        </is>
      </c>
      <c r="B87" t="inlineStr">
        <is>
          <t>diluted_shares_wavg FY ending 2023-12-31 (us-gaap:WeightedAverageNumberOfDilutedSharesOutstanding)</t>
        </is>
      </c>
      <c r="C87" s="47" t="n">
        <v>4494966000</v>
      </c>
      <c r="D87" t="inlineStr">
        <is>
          <t>https://www.sec.gov/Archives/edgar/data/1065280/000106528026000034/</t>
        </is>
      </c>
    </row>
    <row r="88">
      <c r="A88" t="inlineStr">
        <is>
          <t>F29</t>
        </is>
      </c>
      <c r="B88" t="inlineStr">
        <is>
          <t>diluted_shares_wavg FY ending 2024-12-31 (us-gaap:WeightedAverageNumberOfDilutedSharesOutstanding)</t>
        </is>
      </c>
      <c r="C88" s="47" t="n">
        <v>4392608000</v>
      </c>
      <c r="D88" t="inlineStr">
        <is>
          <t>https://www.sec.gov/Archives/edgar/data/1065280/000106528026000034/</t>
        </is>
      </c>
    </row>
    <row r="89">
      <c r="A89" t="inlineStr">
        <is>
          <t>F30</t>
        </is>
      </c>
      <c r="B89" t="inlineStr">
        <is>
          <t>diluted_shares_wavg FY ending 2025-12-31 (us-gaap:WeightedAverageNumberOfDilutedSharesOutstanding)</t>
        </is>
      </c>
      <c r="C89" s="47" t="n">
        <v>4343863000</v>
      </c>
      <c r="D89" t="inlineStr">
        <is>
          <t>https://www.sec.gov/Archives/edgar/data/1065280/000106528026000034/</t>
        </is>
      </c>
    </row>
    <row r="90">
      <c r="A90" t="inlineStr">
        <is>
          <t>F31</t>
        </is>
      </c>
      <c r="B90" t="inlineStr">
        <is>
          <t>diluted_shares_wavg YTD 2026-01-01 to 2026-09-30</t>
        </is>
      </c>
      <c r="C90" s="47" t="n">
        <v>4251298000</v>
      </c>
      <c r="D90" t="inlineStr">
        <is>
          <t>https://www.sec.gov/Archives/edgar/data/1065280/000106528026000291/</t>
        </is>
      </c>
    </row>
    <row r="91">
      <c r="A91" t="inlineStr">
        <is>
          <t>F32</t>
        </is>
      </c>
      <c r="B91" t="inlineStr">
        <is>
          <t>diluted_shares_wavg prior-year YTD 2025-01-01 to 2025-09-30</t>
        </is>
      </c>
      <c r="C91" s="47" t="n">
        <v>4352844000</v>
      </c>
      <c r="D91" t="inlineStr">
        <is>
          <t>https://www.sec.gov/Archives/edgar/data/1065280/000106528026000291/</t>
        </is>
      </c>
    </row>
    <row r="92">
      <c r="A92" t="inlineStr">
        <is>
          <t>F33</t>
        </is>
      </c>
      <c r="B92" t="inlineStr">
        <is>
          <t>diluted_shares_wavg quarter 2026-07-01 to 2026-09-30</t>
        </is>
      </c>
      <c r="C92" s="47" t="n">
        <v>4195127000</v>
      </c>
      <c r="D92" t="inlineStr">
        <is>
          <t>https://www.sec.gov/Archives/edgar/data/1065280/000106528026000291/</t>
        </is>
      </c>
    </row>
    <row r="93">
      <c r="A93" t="inlineStr">
        <is>
          <t>F34</t>
        </is>
      </c>
      <c r="B93" t="inlineStr">
        <is>
          <t>d_and_a FY ending 2023-12-31 (us-gaap:DepreciationDepletionAndAmortization)</t>
        </is>
      </c>
      <c r="C93" s="47" t="n">
        <v>356947000</v>
      </c>
      <c r="D93" t="inlineStr">
        <is>
          <t>https://www.sec.gov/Archives/edgar/data/1065280/000106528026000034/</t>
        </is>
      </c>
    </row>
    <row r="94">
      <c r="A94" t="inlineStr">
        <is>
          <t>F35</t>
        </is>
      </c>
      <c r="B94" t="inlineStr">
        <is>
          <t>d_and_a FY ending 2024-12-31 (us-gaap:DepreciationDepletionAndAmortization)</t>
        </is>
      </c>
      <c r="C94" s="47" t="n">
        <v>328914000</v>
      </c>
      <c r="D94" t="inlineStr">
        <is>
          <t>https://www.sec.gov/Archives/edgar/data/1065280/000106528026000034/</t>
        </is>
      </c>
    </row>
    <row r="95">
      <c r="A95" t="inlineStr">
        <is>
          <t>F36</t>
        </is>
      </c>
      <c r="B95" t="inlineStr">
        <is>
          <t>d_and_a FY ending 2025-12-31 (us-gaap:DepreciationDepletionAndAmortization)</t>
        </is>
      </c>
      <c r="C95" s="47" t="n">
        <v>333389000</v>
      </c>
      <c r="D95" t="inlineStr">
        <is>
          <t>https://www.sec.gov/Archives/edgar/data/1065280/000106528026000034/</t>
        </is>
      </c>
    </row>
    <row r="96">
      <c r="A96" t="inlineStr">
        <is>
          <t>F37</t>
        </is>
      </c>
      <c r="B96" t="inlineStr">
        <is>
          <t>d_and_a YTD 2026-01-01 to 2026-09-30</t>
        </is>
      </c>
      <c r="C96" s="47" t="n">
        <v>306205000</v>
      </c>
      <c r="D96" t="inlineStr">
        <is>
          <t>https://www.sec.gov/Archives/edgar/data/1065280/000106528026000291/</t>
        </is>
      </c>
    </row>
    <row r="97">
      <c r="A97" t="inlineStr">
        <is>
          <t>F38</t>
        </is>
      </c>
      <c r="B97" t="inlineStr">
        <is>
          <t>d_and_a prior-year YTD 2025-01-01 to 2025-09-30</t>
        </is>
      </c>
      <c r="C97" s="47" t="n">
        <v>247406000</v>
      </c>
      <c r="D97" t="inlineStr">
        <is>
          <t>https://www.sec.gov/Archives/edgar/data/1065280/000106528026000291/</t>
        </is>
      </c>
    </row>
    <row r="98">
      <c r="A98" t="inlineStr">
        <is>
          <t>F39</t>
        </is>
      </c>
      <c r="B98" t="inlineStr">
        <is>
          <t>d_and_a TTM to 2026-09-30</t>
        </is>
      </c>
      <c r="C98" s="47" t="n">
        <v>392188000</v>
      </c>
    </row>
    <row r="99">
      <c r="A99" t="inlineStr">
        <is>
          <t>F40</t>
        </is>
      </c>
      <c r="B99" t="inlineStr">
        <is>
          <t>d_and_a quarter 2026-07-01 to 2026-09-30</t>
        </is>
      </c>
      <c r="C99" s="47" t="n">
        <v>107100000</v>
      </c>
      <c r="D99" t="inlineStr">
        <is>
          <t>https://www.sec.gov/Archives/edgar/data/1065280/000106528026000291/</t>
        </is>
      </c>
    </row>
    <row r="100">
      <c r="A100" t="inlineStr">
        <is>
          <t>F41</t>
        </is>
      </c>
      <c r="B100" t="inlineStr">
        <is>
          <t>sbc FY ending 2023-12-31 (us-gaap:ShareBasedCompensation)</t>
        </is>
      </c>
      <c r="C100" s="47" t="n">
        <v>339368000</v>
      </c>
      <c r="D100" t="inlineStr">
        <is>
          <t>https://www.sec.gov/Archives/edgar/data/1065280/000106528026000034/</t>
        </is>
      </c>
    </row>
    <row r="101">
      <c r="A101" t="inlineStr">
        <is>
          <t>F42</t>
        </is>
      </c>
      <c r="B101" t="inlineStr">
        <is>
          <t>sbc FY ending 2024-12-31 (us-gaap:ShareBasedCompensation)</t>
        </is>
      </c>
      <c r="C101" s="47" t="n">
        <v>272588000</v>
      </c>
      <c r="D101" t="inlineStr">
        <is>
          <t>https://www.sec.gov/Archives/edgar/data/1065280/000106528026000034/</t>
        </is>
      </c>
    </row>
    <row r="102">
      <c r="A102" t="inlineStr">
        <is>
          <t>F43</t>
        </is>
      </c>
      <c r="B102" t="inlineStr">
        <is>
          <t>sbc FY ending 2025-12-31 (us-gaap:ShareBasedCompensation)</t>
        </is>
      </c>
      <c r="C102" s="47" t="n">
        <v>368449000</v>
      </c>
      <c r="D102" t="inlineStr">
        <is>
          <t>https://www.sec.gov/Archives/edgar/data/1065280/000106528026000034/</t>
        </is>
      </c>
    </row>
    <row r="103">
      <c r="A103" t="inlineStr">
        <is>
          <t>F44</t>
        </is>
      </c>
      <c r="B103" t="inlineStr">
        <is>
          <t>sbc YTD 2026-01-01 to 2026-09-30</t>
        </is>
      </c>
      <c r="C103" s="47" t="n">
        <v>405440000</v>
      </c>
      <c r="D103" t="inlineStr">
        <is>
          <t>https://www.sec.gov/Archives/edgar/data/1065280/000106528026000291/</t>
        </is>
      </c>
    </row>
    <row r="104">
      <c r="A104" t="inlineStr">
        <is>
          <t>F45</t>
        </is>
      </c>
      <c r="B104" t="inlineStr">
        <is>
          <t>sbc prior-year YTD 2025-01-01 to 2025-09-30</t>
        </is>
      </c>
      <c r="C104" s="47" t="n">
        <v>233825000</v>
      </c>
      <c r="D104" t="inlineStr">
        <is>
          <t>https://www.sec.gov/Archives/edgar/data/1065280/000106528026000291/</t>
        </is>
      </c>
    </row>
    <row r="105">
      <c r="A105" t="inlineStr">
        <is>
          <t>F46</t>
        </is>
      </c>
      <c r="B105" t="inlineStr">
        <is>
          <t>sbc TTM to 2026-09-30</t>
        </is>
      </c>
      <c r="C105" s="47" t="n">
        <v>540064000</v>
      </c>
    </row>
    <row r="106">
      <c r="A106" t="inlineStr">
        <is>
          <t>F47</t>
        </is>
      </c>
      <c r="B106" t="inlineStr">
        <is>
          <t>sbc quarter 2026-07-01 to 2026-09-30</t>
        </is>
      </c>
      <c r="C106" s="47" t="n">
        <v>133723000</v>
      </c>
      <c r="D106" t="inlineStr">
        <is>
          <t>https://www.sec.gov/Archives/edgar/data/1065280/000106528026000291/</t>
        </is>
      </c>
    </row>
    <row r="107">
      <c r="A107" t="inlineStr">
        <is>
          <t>F48</t>
        </is>
      </c>
      <c r="B107" t="inlineStr">
        <is>
          <t>cfo FY ending 2023-12-31 (us-gaap:NetCashProvidedByUsedInOperatingActivities)</t>
        </is>
      </c>
      <c r="C107" s="47" t="n">
        <v>7274301000</v>
      </c>
      <c r="D107" t="inlineStr">
        <is>
          <t>https://www.sec.gov/Archives/edgar/data/1065280/000106528026000034/</t>
        </is>
      </c>
    </row>
    <row r="108">
      <c r="A108" t="inlineStr">
        <is>
          <t>F49</t>
        </is>
      </c>
      <c r="B108" t="inlineStr">
        <is>
          <t>cfo FY ending 2024-12-31 (us-gaap:NetCashProvidedByUsedInOperatingActivities)</t>
        </is>
      </c>
      <c r="C108" s="47" t="n">
        <v>7361364000</v>
      </c>
      <c r="D108" t="inlineStr">
        <is>
          <t>https://www.sec.gov/Archives/edgar/data/1065280/000106528026000034/</t>
        </is>
      </c>
    </row>
    <row r="109">
      <c r="A109" t="inlineStr">
        <is>
          <t>F50</t>
        </is>
      </c>
      <c r="B109" t="inlineStr">
        <is>
          <t>cfo FY ending 2025-12-31 (us-gaap:NetCashProvidedByUsedInOperatingActivities)</t>
        </is>
      </c>
      <c r="C109" s="47" t="n">
        <v>10149273000</v>
      </c>
      <c r="D109" t="inlineStr">
        <is>
          <t>https://www.sec.gov/Archives/edgar/data/1065280/000106528026000034/</t>
        </is>
      </c>
    </row>
    <row r="110">
      <c r="A110" t="inlineStr">
        <is>
          <t>F51</t>
        </is>
      </c>
      <c r="B110" t="inlineStr">
        <is>
          <t>cfo YTD 2026-01-01 to 2026-09-30</t>
        </is>
      </c>
      <c r="C110" s="47" t="n">
        <v>10196296000</v>
      </c>
      <c r="D110" t="inlineStr">
        <is>
          <t>https://www.sec.gov/Archives/edgar/data/1065280/000106528026000291/</t>
        </is>
      </c>
    </row>
    <row r="111">
      <c r="A111" t="inlineStr">
        <is>
          <t>F52</t>
        </is>
      </c>
      <c r="B111" t="inlineStr">
        <is>
          <t>cfo prior-year YTD 2025-01-01 to 2025-09-30</t>
        </is>
      </c>
      <c r="C111" s="47" t="n">
        <v>8037631000</v>
      </c>
      <c r="D111" t="inlineStr">
        <is>
          <t>https://www.sec.gov/Archives/edgar/data/1065280/000106528026000291/</t>
        </is>
      </c>
    </row>
    <row r="112">
      <c r="A112" t="inlineStr">
        <is>
          <t>F53</t>
        </is>
      </c>
      <c r="B112" t="inlineStr">
        <is>
          <t>cfo TTM to 2026-09-30</t>
        </is>
      </c>
      <c r="C112" s="47" t="n">
        <v>12307938000</v>
      </c>
    </row>
    <row r="113">
      <c r="A113" t="inlineStr">
        <is>
          <t>F54</t>
        </is>
      </c>
      <c r="B113" t="inlineStr">
        <is>
          <t>cfo quarter 2026-07-01 to 2026-09-30</t>
        </is>
      </c>
      <c r="C113" s="47" t="n">
        <v>3162279000</v>
      </c>
      <c r="D113" t="inlineStr">
        <is>
          <t>https://www.sec.gov/Archives/edgar/data/1065280/000106528026000291/</t>
        </is>
      </c>
    </row>
    <row r="114">
      <c r="A114" t="inlineStr">
        <is>
          <t>F55</t>
        </is>
      </c>
      <c r="B114" t="inlineStr">
        <is>
          <t>capex FY ending 2023-12-31 (us-gaap:PaymentsToAcquirePropertyPlantAndEquipment)</t>
        </is>
      </c>
      <c r="C114" s="47" t="n">
        <v>348552000</v>
      </c>
      <c r="D114" t="inlineStr">
        <is>
          <t>https://www.sec.gov/Archives/edgar/data/1065280/000106528026000034/</t>
        </is>
      </c>
    </row>
    <row r="115">
      <c r="A115" t="inlineStr">
        <is>
          <t>F56</t>
        </is>
      </c>
      <c r="B115" t="inlineStr">
        <is>
          <t>capex FY ending 2024-12-31 (us-gaap:PaymentsToAcquirePropertyPlantAndEquipment)</t>
        </is>
      </c>
      <c r="C115" s="47" t="n">
        <v>439538000</v>
      </c>
      <c r="D115" t="inlineStr">
        <is>
          <t>https://www.sec.gov/Archives/edgar/data/1065280/000106528026000034/</t>
        </is>
      </c>
    </row>
    <row r="116">
      <c r="A116" t="inlineStr">
        <is>
          <t>F57</t>
        </is>
      </c>
      <c r="B116" t="inlineStr">
        <is>
          <t>capex FY ending 2025-12-31 (us-gaap:PaymentsToAcquirePropertyPlantAndEquipment)</t>
        </is>
      </c>
      <c r="C116" s="47" t="n">
        <v>688220000</v>
      </c>
      <c r="D116" t="inlineStr">
        <is>
          <t>https://www.sec.gov/Archives/edgar/data/1065280/000106528026000034/</t>
        </is>
      </c>
    </row>
    <row r="117">
      <c r="A117" t="inlineStr">
        <is>
          <t>F58</t>
        </is>
      </c>
      <c r="B117" t="inlineStr">
        <is>
          <t>capex YTD 2026-01-01 to 2026-09-30</t>
        </is>
      </c>
      <c r="C117" s="47" t="n">
        <v>693540000</v>
      </c>
      <c r="D117" t="inlineStr">
        <is>
          <t>https://www.sec.gov/Archives/edgar/data/1065280/000106528026000291/</t>
        </is>
      </c>
    </row>
    <row r="118">
      <c r="A118" t="inlineStr">
        <is>
          <t>F59</t>
        </is>
      </c>
      <c r="B118" t="inlineStr">
        <is>
          <t>capex prior-year YTD 2025-01-01 to 2025-09-30</t>
        </is>
      </c>
      <c r="C118" s="47" t="n">
        <v>448885000</v>
      </c>
      <c r="D118" t="inlineStr">
        <is>
          <t>https://www.sec.gov/Archives/edgar/data/1065280/000106528026000291/</t>
        </is>
      </c>
    </row>
    <row r="119">
      <c r="A119" t="inlineStr">
        <is>
          <t>F60</t>
        </is>
      </c>
      <c r="B119" t="inlineStr">
        <is>
          <t>capex TTM to 2026-09-30</t>
        </is>
      </c>
      <c r="C119" s="47" t="n">
        <v>932875000</v>
      </c>
    </row>
    <row r="120">
      <c r="A120" t="inlineStr">
        <is>
          <t>F61</t>
        </is>
      </c>
      <c r="B120" t="inlineStr">
        <is>
          <t>capex quarter 2026-07-01 to 2026-09-30</t>
        </is>
      </c>
      <c r="C120" s="47" t="n">
        <v>278766000</v>
      </c>
      <c r="D120" t="inlineStr">
        <is>
          <t>https://www.sec.gov/Archives/edgar/data/1065280/000106528026000291/</t>
        </is>
      </c>
    </row>
    <row r="121">
      <c r="A121" t="inlineStr">
        <is>
          <t>F62</t>
        </is>
      </c>
      <c r="B121" t="inlineStr">
        <is>
          <t>buybacks FY ending 2023-12-31 (us-gaap:PaymentsForRepurchaseOfCommonStock)</t>
        </is>
      </c>
      <c r="C121" s="47" t="n">
        <v>6045347000</v>
      </c>
      <c r="D121" t="inlineStr">
        <is>
          <t>https://www.sec.gov/Archives/edgar/data/1065280/000106528026000034/</t>
        </is>
      </c>
    </row>
    <row r="122">
      <c r="A122" t="inlineStr">
        <is>
          <t>F63</t>
        </is>
      </c>
      <c r="B122" t="inlineStr">
        <is>
          <t>buybacks FY ending 2024-12-31 (us-gaap:PaymentsForRepurchaseOfCommonStock)</t>
        </is>
      </c>
      <c r="C122" s="47" t="n">
        <v>6263746000</v>
      </c>
      <c r="D122" t="inlineStr">
        <is>
          <t>https://www.sec.gov/Archives/edgar/data/1065280/000106528026000034/</t>
        </is>
      </c>
    </row>
    <row r="123">
      <c r="A123" t="inlineStr">
        <is>
          <t>F64</t>
        </is>
      </c>
      <c r="B123" t="inlineStr">
        <is>
          <t>buybacks FY ending 2025-12-31 (us-gaap:PaymentsForRepurchaseOfCommonStock)</t>
        </is>
      </c>
      <c r="C123" s="47" t="n">
        <v>9127167000</v>
      </c>
      <c r="D123" t="inlineStr">
        <is>
          <t>https://www.sec.gov/Archives/edgar/data/1065280/000106528026000034/</t>
        </is>
      </c>
    </row>
    <row r="124">
      <c r="A124" t="inlineStr">
        <is>
          <t>F65</t>
        </is>
      </c>
      <c r="B124" t="inlineStr">
        <is>
          <t>buybacks YTD 2026-01-01 to 2026-09-30</t>
        </is>
      </c>
      <c r="C124" s="47" t="n">
        <v>10781716000</v>
      </c>
      <c r="D124" t="inlineStr">
        <is>
          <t>https://www.sec.gov/Archives/edgar/data/1065280/000106528026000291/</t>
        </is>
      </c>
    </row>
    <row r="125">
      <c r="A125" t="inlineStr">
        <is>
          <t>F66</t>
        </is>
      </c>
      <c r="B125" t="inlineStr">
        <is>
          <t>buybacks prior-year YTD 2025-01-01 to 2025-09-30</t>
        </is>
      </c>
      <c r="C125" s="47" t="n">
        <v>7047608000</v>
      </c>
      <c r="D125" t="inlineStr">
        <is>
          <t>https://www.sec.gov/Archives/edgar/data/1065280/000106528026000291/</t>
        </is>
      </c>
    </row>
    <row r="126">
      <c r="A126" t="inlineStr">
        <is>
          <t>F67</t>
        </is>
      </c>
      <c r="B126" t="inlineStr">
        <is>
          <t>buybacks TTM to 2026-09-30</t>
        </is>
      </c>
      <c r="C126" s="47" t="n">
        <v>12861275000</v>
      </c>
    </row>
    <row r="127">
      <c r="A127" t="inlineStr">
        <is>
          <t>F68</t>
        </is>
      </c>
      <c r="B127" t="inlineStr">
        <is>
          <t>buybacks quarter 2026-07-01 to 2026-09-30</t>
        </is>
      </c>
      <c r="C127" s="47" t="n">
        <v>4796725000</v>
      </c>
      <c r="D127" t="inlineStr">
        <is>
          <t>https://www.sec.gov/Archives/edgar/data/1065280/000106528026000291/</t>
        </is>
      </c>
    </row>
    <row r="128">
      <c r="A128" t="inlineStr">
        <is>
          <t>F69</t>
        </is>
      </c>
      <c r="B128" t="inlineStr">
        <is>
          <t>interest_expense FY ending 2023-12-31 (us-gaap:InterestExpenseNonoperating)</t>
        </is>
      </c>
      <c r="C128" s="47" t="n">
        <v>699826000</v>
      </c>
      <c r="D128" t="inlineStr">
        <is>
          <t>https://www.sec.gov/Archives/edgar/data/1065280/000106528026000034/</t>
        </is>
      </c>
    </row>
    <row r="129">
      <c r="A129" t="inlineStr">
        <is>
          <t>F70</t>
        </is>
      </c>
      <c r="B129" t="inlineStr">
        <is>
          <t>interest_expense FY ending 2024-12-31 (us-gaap:InterestExpenseNonoperating)</t>
        </is>
      </c>
      <c r="C129" s="47" t="n">
        <v>718733000</v>
      </c>
      <c r="D129" t="inlineStr">
        <is>
          <t>https://www.sec.gov/Archives/edgar/data/1065280/000106528026000034/</t>
        </is>
      </c>
    </row>
    <row r="130">
      <c r="A130" t="inlineStr">
        <is>
          <t>F71</t>
        </is>
      </c>
      <c r="B130" t="inlineStr">
        <is>
          <t>interest_expense FY ending 2025-12-31 (us-gaap:InterestExpenseNonoperating)</t>
        </is>
      </c>
      <c r="C130" s="47" t="n">
        <v>776510000</v>
      </c>
      <c r="D130" t="inlineStr">
        <is>
          <t>https://www.sec.gov/Archives/edgar/data/1065280/000106528026000034/</t>
        </is>
      </c>
    </row>
    <row r="131">
      <c r="A131" t="inlineStr">
        <is>
          <t>F72</t>
        </is>
      </c>
      <c r="B131" t="inlineStr">
        <is>
          <t>interest_expense YTD 2026-01-01 to 2026-09-30</t>
        </is>
      </c>
      <c r="C131" s="47" t="n">
        <v>622463000</v>
      </c>
      <c r="D131" t="inlineStr">
        <is>
          <t>https://www.sec.gov/Archives/edgar/data/1065280/000106528026000291/</t>
        </is>
      </c>
    </row>
    <row r="132">
      <c r="A132" t="inlineStr">
        <is>
          <t>F73</t>
        </is>
      </c>
      <c r="B132" t="inlineStr">
        <is>
          <t>interest_expense prior-year YTD 2025-01-01 to 2025-09-30</t>
        </is>
      </c>
      <c r="C132" s="47" t="n">
        <v>542115000</v>
      </c>
      <c r="D132" t="inlineStr">
        <is>
          <t>https://www.sec.gov/Archives/edgar/data/1065280/000106528026000291/</t>
        </is>
      </c>
    </row>
    <row r="133">
      <c r="A133" t="inlineStr">
        <is>
          <t>F74</t>
        </is>
      </c>
      <c r="B133" t="inlineStr">
        <is>
          <t>interest_expense TTM to 2026-09-30</t>
        </is>
      </c>
      <c r="C133" s="47" t="n">
        <v>856858000</v>
      </c>
    </row>
    <row r="134">
      <c r="A134" t="inlineStr">
        <is>
          <t>F75</t>
        </is>
      </c>
      <c r="B134" t="inlineStr">
        <is>
          <t>interest_expense quarter 2026-07-01 to 2026-09-30</t>
        </is>
      </c>
      <c r="C134" s="47" t="n">
        <v>184701000</v>
      </c>
      <c r="D134" t="inlineStr">
        <is>
          <t>https://www.sec.gov/Archives/edgar/data/1065280/000106528026000291/</t>
        </is>
      </c>
    </row>
    <row r="135">
      <c r="A135" t="inlineStr">
        <is>
          <t>F76</t>
        </is>
      </c>
      <c r="B135" t="inlineStr">
        <is>
          <t>income_tax FY ending 2023-12-31 (us-gaap:IncomeTaxExpenseBenefit)</t>
        </is>
      </c>
      <c r="C135" s="47" t="n">
        <v>797415000</v>
      </c>
      <c r="D135" t="inlineStr">
        <is>
          <t>https://www.sec.gov/Archives/edgar/data/1065280/000106528026000034/</t>
        </is>
      </c>
    </row>
    <row r="136">
      <c r="A136" t="inlineStr">
        <is>
          <t>F77</t>
        </is>
      </c>
      <c r="B136" t="inlineStr">
        <is>
          <t>income_tax FY ending 2024-12-31 (us-gaap:IncomeTaxExpenseBenefit)</t>
        </is>
      </c>
      <c r="C136" s="47" t="n">
        <v>1254026000</v>
      </c>
      <c r="D136" t="inlineStr">
        <is>
          <t>https://www.sec.gov/Archives/edgar/data/1065280/000106528026000034/</t>
        </is>
      </c>
    </row>
    <row r="137">
      <c r="A137" t="inlineStr">
        <is>
          <t>F78</t>
        </is>
      </c>
      <c r="B137" t="inlineStr">
        <is>
          <t>income_tax FY ending 2025-12-31 (us-gaap:IncomeTaxExpenseBenefit)</t>
        </is>
      </c>
      <c r="C137" s="47" t="n">
        <v>1741351000</v>
      </c>
      <c r="D137" t="inlineStr">
        <is>
          <t>https://www.sec.gov/Archives/edgar/data/1065280/000106528026000034/</t>
        </is>
      </c>
    </row>
    <row r="138">
      <c r="A138" t="inlineStr">
        <is>
          <t>F79</t>
        </is>
      </c>
      <c r="B138" t="inlineStr">
        <is>
          <t>income_tax YTD 2026-01-01 to 2026-09-30</t>
        </is>
      </c>
      <c r="C138" s="47" t="n">
        <v>2584445000</v>
      </c>
      <c r="D138" t="inlineStr">
        <is>
          <t>https://www.sec.gov/Archives/edgar/data/1065280/000106528026000291/</t>
        </is>
      </c>
    </row>
    <row r="139">
      <c r="A139" t="inlineStr">
        <is>
          <t>F80</t>
        </is>
      </c>
      <c r="B139" t="inlineStr">
        <is>
          <t>income_tax prior-year YTD 2025-01-01 to 2025-09-30</t>
        </is>
      </c>
      <c r="C139" s="47" t="n">
        <v>1392131000</v>
      </c>
      <c r="D139" t="inlineStr">
        <is>
          <t>https://www.sec.gov/Archives/edgar/data/1065280/000106528026000291/</t>
        </is>
      </c>
    </row>
    <row r="140">
      <c r="A140" t="inlineStr">
        <is>
          <t>F81</t>
        </is>
      </c>
      <c r="B140" t="inlineStr">
        <is>
          <t>income_tax TTM to 2026-09-30</t>
        </is>
      </c>
      <c r="C140" s="47" t="n">
        <v>2933665000</v>
      </c>
    </row>
    <row r="141">
      <c r="A141" t="inlineStr">
        <is>
          <t>F82</t>
        </is>
      </c>
      <c r="B141" t="inlineStr">
        <is>
          <t>income_tax quarter 2026-07-01 to 2026-09-30</t>
        </is>
      </c>
      <c r="C141" s="47" t="n">
        <v>652978000</v>
      </c>
      <c r="D141" t="inlineStr">
        <is>
          <t>https://www.sec.gov/Archives/edgar/data/1065280/000106528026000291/</t>
        </is>
      </c>
    </row>
    <row r="142">
      <c r="A142" t="inlineStr">
        <is>
          <t>F83</t>
        </is>
      </c>
      <c r="B142" t="inlineStr">
        <is>
          <t>pretax_income FY ending 2023-12-31 (us-gaap:IncomeLossFromContinuingOperationsBeforeIncomeTaxesExtraordinaryItemsNoncontrollingInterest)</t>
        </is>
      </c>
      <c r="C142" s="47" t="n">
        <v>6205405000</v>
      </c>
      <c r="D142" t="inlineStr">
        <is>
          <t>https://www.sec.gov/Archives/edgar/data/1065280/000106528026000034/</t>
        </is>
      </c>
    </row>
    <row r="143">
      <c r="A143" t="inlineStr">
        <is>
          <t>F84</t>
        </is>
      </c>
      <c r="B143" t="inlineStr">
        <is>
          <t>pretax_income FY ending 2024-12-31 (us-gaap:IncomeLossFromContinuingOperationsBeforeIncomeTaxesExtraordinaryItemsNoncontrollingInterest)</t>
        </is>
      </c>
      <c r="C143" s="47" t="n">
        <v>9965657000</v>
      </c>
      <c r="D143" t="inlineStr">
        <is>
          <t>https://www.sec.gov/Archives/edgar/data/1065280/000106528026000034/</t>
        </is>
      </c>
    </row>
    <row r="144">
      <c r="A144" t="inlineStr">
        <is>
          <t>F85</t>
        </is>
      </c>
      <c r="B144" t="inlineStr">
        <is>
          <t>pretax_income FY ending 2025-12-31 (us-gaap:IncomeLossFromContinuingOperationsBeforeIncomeTaxesExtraordinaryItemsNoncontrollingInterest)</t>
        </is>
      </c>
      <c r="C144" s="47" t="n">
        <v>12722552000</v>
      </c>
      <c r="D144" t="inlineStr">
        <is>
          <t>https://www.sec.gov/Archives/edgar/data/1065280/000106528026000034/</t>
        </is>
      </c>
    </row>
    <row r="145">
      <c r="A145" t="inlineStr">
        <is>
          <t>F86</t>
        </is>
      </c>
      <c r="B145" t="inlineStr">
        <is>
          <t>pretax_income YTD 2026-01-01 to 2026-09-30</t>
        </is>
      </c>
      <c r="C145" s="47" t="n">
        <v>14932577000</v>
      </c>
      <c r="D145" t="inlineStr">
        <is>
          <t>https://www.sec.gov/Archives/edgar/data/1065280/000106528026000291/</t>
        </is>
      </c>
    </row>
    <row r="146">
      <c r="A146" t="inlineStr">
        <is>
          <t>F87</t>
        </is>
      </c>
      <c r="B146" t="inlineStr">
        <is>
          <t>pretax_income prior-year YTD 2025-01-01 to 2025-09-30</t>
        </is>
      </c>
      <c r="C146" s="47" t="n">
        <v>9954811000</v>
      </c>
      <c r="D146" t="inlineStr">
        <is>
          <t>https://www.sec.gov/Archives/edgar/data/1065280/000106528026000291/</t>
        </is>
      </c>
    </row>
    <row r="147">
      <c r="A147" t="inlineStr">
        <is>
          <t>F88</t>
        </is>
      </c>
      <c r="B147" t="inlineStr">
        <is>
          <t>pretax_income TTM to 2026-09-30</t>
        </is>
      </c>
      <c r="C147" s="47" t="n">
        <v>17700318000</v>
      </c>
    </row>
    <row r="148">
      <c r="A148" t="inlineStr">
        <is>
          <t>F89</t>
        </is>
      </c>
      <c r="B148" t="inlineStr">
        <is>
          <t>pretax_income quarter 2026-07-01 to 2026-09-30</t>
        </is>
      </c>
      <c r="C148" s="47" t="n">
        <v>4316905000</v>
      </c>
      <c r="D148" t="inlineStr">
        <is>
          <t>https://www.sec.gov/Archives/edgar/data/1065280/000106528026000291/</t>
        </is>
      </c>
    </row>
    <row r="149">
      <c r="A149" t="inlineStr">
        <is>
          <t>F90</t>
        </is>
      </c>
      <c r="B149" t="inlineStr">
        <is>
          <t>cash at 2026-09-30 (us-gaap:CashAndCashEquivalentsAtCarryingValue)</t>
        </is>
      </c>
      <c r="C149" s="47" t="n">
        <v>8194275000</v>
      </c>
      <c r="D149" t="inlineStr">
        <is>
          <t>https://www.sec.gov/Archives/edgar/data/1065280/000106528026000291/</t>
        </is>
      </c>
    </row>
    <row r="150">
      <c r="A150" t="inlineStr">
        <is>
          <t>F91</t>
        </is>
      </c>
      <c r="B150" t="inlineStr">
        <is>
          <t>st_investments at 2026-09-30 (us-gaap:ShortTermInvestments)</t>
        </is>
      </c>
      <c r="C150" s="47" t="n">
        <v>28678000</v>
      </c>
      <c r="D150" t="inlineStr">
        <is>
          <t>https://www.sec.gov/Archives/edgar/data/1065280/000106528026000291/</t>
        </is>
      </c>
    </row>
    <row r="151">
      <c r="A151" t="inlineStr">
        <is>
          <t>F92</t>
        </is>
      </c>
      <c r="B151" t="inlineStr">
        <is>
          <t>debt_noncurrent at 2026-09-30 (us-gaap:LongTermDebtNoncurrent)</t>
        </is>
      </c>
      <c r="C151" s="47" t="n">
        <v>12657598000</v>
      </c>
      <c r="D151" t="inlineStr">
        <is>
          <t>https://www.sec.gov/Archives/edgar/data/1065280/000106528026000291/</t>
        </is>
      </c>
    </row>
    <row r="152">
      <c r="A152" t="inlineStr">
        <is>
          <t>F93</t>
        </is>
      </c>
      <c r="B152" t="inlineStr">
        <is>
          <t>st_borrowings at 2026-09-30 (us-gaap:ShortTermBorrowings)</t>
        </is>
      </c>
      <c r="C152" s="47" t="n">
        <v>2474796000</v>
      </c>
      <c r="D152" t="inlineStr">
        <is>
          <t>https://www.sec.gov/Archives/edgar/data/1065280/000106528026000291/</t>
        </is>
      </c>
    </row>
    <row r="153">
      <c r="A153" t="inlineStr">
        <is>
          <t>F94</t>
        </is>
      </c>
      <c r="B153" t="inlineStr">
        <is>
          <t>equity at 2026-09-30 (us-gaap:StockholdersEquity)</t>
        </is>
      </c>
      <c r="C153" s="47" t="n">
        <v>29286253000</v>
      </c>
      <c r="D153" t="inlineStr">
        <is>
          <t>https://www.sec.gov/Archives/edgar/data/1065280/000106528026000291/</t>
        </is>
      </c>
    </row>
    <row r="154">
      <c r="A154" t="inlineStr">
        <is>
          <t>F95</t>
        </is>
      </c>
      <c r="B154" t="inlineStr">
        <is>
          <t>shares outstanding (cover page, 1 class(es)) as of 2026-09-30</t>
        </is>
      </c>
      <c r="C154" s="47" t="n">
        <v>4106325903</v>
      </c>
      <c r="D154" t="inlineStr">
        <is>
          <t>https://www.sec.gov/Archives/edgar/data/1065280/000106528026000291/</t>
        </is>
      </c>
    </row>
    <row r="155">
      <c r="A155" t="inlineStr">
        <is>
          <t>F96</t>
        </is>
      </c>
      <c r="B155" t="inlineStr">
        <is>
          <t>total debt (XBRL tags; excludes leases unless tagged in; check the balance sheet)</t>
        </is>
      </c>
      <c r="C155" s="47" t="n">
        <v>15132394000</v>
      </c>
    </row>
    <row r="156">
      <c r="A156" t="inlineStr">
        <is>
          <t>F97</t>
        </is>
      </c>
      <c r="B156" t="inlineStr">
        <is>
          <t>net debt = debt - cash - short-term investments</t>
        </is>
      </c>
      <c r="C156" s="47" t="n">
        <v>6909441000</v>
      </c>
    </row>
    <row r="157">
      <c r="A157" t="inlineStr">
        <is>
          <t>F98</t>
        </is>
      </c>
      <c r="B157" t="inlineStr">
        <is>
          <t>EBITDA TTM (GAAP operating income + D&amp;A; not the company's adjusted EBITDA)</t>
        </is>
      </c>
      <c r="C157" s="47" t="n">
        <v>15957058000</v>
      </c>
    </row>
    <row r="158">
      <c r="A158" t="inlineStr">
        <is>
          <t>F99</t>
        </is>
      </c>
      <c r="B158" t="inlineStr">
        <is>
          <t>free cash flow TTM = operating cash flow - capex (before SBC adjustment)</t>
        </is>
      </c>
      <c r="C158" s="47" t="n">
        <v>11375063000</v>
      </c>
    </row>
    <row r="159">
      <c r="A159" t="inlineStr">
        <is>
          <t>F100</t>
        </is>
      </c>
      <c r="B159" t="inlineStr">
        <is>
          <t>diluted EPS TTM approx = net income TTM / latest quarter diluted shares</t>
        </is>
      </c>
      <c r="C159" s="47" t="n">
        <v>3.519953746334735</v>
      </c>
    </row>
  </sheetData>
  <hyperlinks>
    <hyperlink xmlns:r="http://schemas.openxmlformats.org/officeDocument/2006/relationships" ref="D27" r:id="rId1"/>
    <hyperlink xmlns:r="http://schemas.openxmlformats.org/officeDocument/2006/relationships" ref="D28" r:id="rId2"/>
    <hyperlink xmlns:r="http://schemas.openxmlformats.org/officeDocument/2006/relationships" ref="D29" r:id="rId3"/>
    <hyperlink xmlns:r="http://schemas.openxmlformats.org/officeDocument/2006/relationships" ref="D30" r:id="rId4"/>
    <hyperlink xmlns:r="http://schemas.openxmlformats.org/officeDocument/2006/relationships" ref="D31" r:id="rId5"/>
    <hyperlink xmlns:r="http://schemas.openxmlformats.org/officeDocument/2006/relationships" ref="D32" r:id="rId6"/>
    <hyperlink xmlns:r="http://schemas.openxmlformats.org/officeDocument/2006/relationships" ref="D33" r:id="rId7"/>
    <hyperlink xmlns:r="http://schemas.openxmlformats.org/officeDocument/2006/relationships" ref="D34" r:id="rId8"/>
    <hyperlink xmlns:r="http://schemas.openxmlformats.org/officeDocument/2006/relationships" ref="D35" r:id="rId9"/>
    <hyperlink xmlns:r="http://schemas.openxmlformats.org/officeDocument/2006/relationships" ref="D36" r:id="rId10"/>
    <hyperlink xmlns:r="http://schemas.openxmlformats.org/officeDocument/2006/relationships" ref="D37" r:id="rId11"/>
    <hyperlink xmlns:r="http://schemas.openxmlformats.org/officeDocument/2006/relationships" ref="D38" r:id="rId12"/>
    <hyperlink xmlns:r="http://schemas.openxmlformats.org/officeDocument/2006/relationships" ref="D39" r:id="rId13"/>
    <hyperlink xmlns:r="http://schemas.openxmlformats.org/officeDocument/2006/relationships" ref="D40" r:id="rId14"/>
    <hyperlink xmlns:r="http://schemas.openxmlformats.org/officeDocument/2006/relationships" ref="D41" r:id="rId15"/>
    <hyperlink xmlns:r="http://schemas.openxmlformats.org/officeDocument/2006/relationships" ref="D42" r:id="rId16"/>
    <hyperlink xmlns:r="http://schemas.openxmlformats.org/officeDocument/2006/relationships" ref="D43" r:id="rId17"/>
    <hyperlink xmlns:r="http://schemas.openxmlformats.org/officeDocument/2006/relationships" ref="D44" r:id="rId18"/>
    <hyperlink xmlns:r="http://schemas.openxmlformats.org/officeDocument/2006/relationships" ref="D45" r:id="rId19"/>
    <hyperlink xmlns:r="http://schemas.openxmlformats.org/officeDocument/2006/relationships" ref="D46" r:id="rId20"/>
    <hyperlink xmlns:r="http://schemas.openxmlformats.org/officeDocument/2006/relationships" ref="D47" r:id="rId21"/>
    <hyperlink xmlns:r="http://schemas.openxmlformats.org/officeDocument/2006/relationships" ref="D48" r:id="rId22"/>
    <hyperlink xmlns:r="http://schemas.openxmlformats.org/officeDocument/2006/relationships" ref="D49" r:id="rId23"/>
    <hyperlink xmlns:r="http://schemas.openxmlformats.org/officeDocument/2006/relationships" ref="D50" r:id="rId24"/>
    <hyperlink xmlns:r="http://schemas.openxmlformats.org/officeDocument/2006/relationships" ref="D51" r:id="rId25"/>
    <hyperlink xmlns:r="http://schemas.openxmlformats.org/officeDocument/2006/relationships" ref="D52" r:id="rId26"/>
    <hyperlink xmlns:r="http://schemas.openxmlformats.org/officeDocument/2006/relationships" ref="D53" r:id="rId27"/>
    <hyperlink xmlns:r="http://schemas.openxmlformats.org/officeDocument/2006/relationships" ref="D54" r:id="rId28"/>
    <hyperlink xmlns:r="http://schemas.openxmlformats.org/officeDocument/2006/relationships" ref="D55" r:id="rId29"/>
    <hyperlink xmlns:r="http://schemas.openxmlformats.org/officeDocument/2006/relationships" ref="D56" r:id="rId30"/>
    <hyperlink xmlns:r="http://schemas.openxmlformats.org/officeDocument/2006/relationships" ref="D57" r:id="rId31"/>
    <hyperlink xmlns:r="http://schemas.openxmlformats.org/officeDocument/2006/relationships" ref="D60" r:id="rId32"/>
    <hyperlink xmlns:r="http://schemas.openxmlformats.org/officeDocument/2006/relationships" ref="D61" r:id="rId33"/>
    <hyperlink xmlns:r="http://schemas.openxmlformats.org/officeDocument/2006/relationships" ref="D62" r:id="rId34"/>
    <hyperlink xmlns:r="http://schemas.openxmlformats.org/officeDocument/2006/relationships" ref="D63" r:id="rId35"/>
    <hyperlink xmlns:r="http://schemas.openxmlformats.org/officeDocument/2006/relationships" ref="D64" r:id="rId36"/>
    <hyperlink xmlns:r="http://schemas.openxmlformats.org/officeDocument/2006/relationships" ref="D66" r:id="rId37"/>
    <hyperlink xmlns:r="http://schemas.openxmlformats.org/officeDocument/2006/relationships" ref="D67" r:id="rId38"/>
    <hyperlink xmlns:r="http://schemas.openxmlformats.org/officeDocument/2006/relationships" ref="D68" r:id="rId39"/>
    <hyperlink xmlns:r="http://schemas.openxmlformats.org/officeDocument/2006/relationships" ref="D69" r:id="rId40"/>
    <hyperlink xmlns:r="http://schemas.openxmlformats.org/officeDocument/2006/relationships" ref="D70" r:id="rId41"/>
    <hyperlink xmlns:r="http://schemas.openxmlformats.org/officeDocument/2006/relationships" ref="D71" r:id="rId42"/>
    <hyperlink xmlns:r="http://schemas.openxmlformats.org/officeDocument/2006/relationships" ref="D73" r:id="rId43"/>
    <hyperlink xmlns:r="http://schemas.openxmlformats.org/officeDocument/2006/relationships" ref="D74" r:id="rId44"/>
    <hyperlink xmlns:r="http://schemas.openxmlformats.org/officeDocument/2006/relationships" ref="D75" r:id="rId45"/>
    <hyperlink xmlns:r="http://schemas.openxmlformats.org/officeDocument/2006/relationships" ref="D76" r:id="rId46"/>
    <hyperlink xmlns:r="http://schemas.openxmlformats.org/officeDocument/2006/relationships" ref="D77" r:id="rId47"/>
    <hyperlink xmlns:r="http://schemas.openxmlformats.org/officeDocument/2006/relationships" ref="D78" r:id="rId48"/>
    <hyperlink xmlns:r="http://schemas.openxmlformats.org/officeDocument/2006/relationships" ref="D80" r:id="rId49"/>
    <hyperlink xmlns:r="http://schemas.openxmlformats.org/officeDocument/2006/relationships" ref="D81" r:id="rId50"/>
    <hyperlink xmlns:r="http://schemas.openxmlformats.org/officeDocument/2006/relationships" ref="D82" r:id="rId51"/>
    <hyperlink xmlns:r="http://schemas.openxmlformats.org/officeDocument/2006/relationships" ref="D83" r:id="rId52"/>
    <hyperlink xmlns:r="http://schemas.openxmlformats.org/officeDocument/2006/relationships" ref="D84" r:id="rId53"/>
    <hyperlink xmlns:r="http://schemas.openxmlformats.org/officeDocument/2006/relationships" ref="D85" r:id="rId54"/>
    <hyperlink xmlns:r="http://schemas.openxmlformats.org/officeDocument/2006/relationships" ref="D86" r:id="rId55"/>
    <hyperlink xmlns:r="http://schemas.openxmlformats.org/officeDocument/2006/relationships" ref="D87" r:id="rId56"/>
    <hyperlink xmlns:r="http://schemas.openxmlformats.org/officeDocument/2006/relationships" ref="D88" r:id="rId57"/>
    <hyperlink xmlns:r="http://schemas.openxmlformats.org/officeDocument/2006/relationships" ref="D89" r:id="rId58"/>
    <hyperlink xmlns:r="http://schemas.openxmlformats.org/officeDocument/2006/relationships" ref="D90" r:id="rId59"/>
    <hyperlink xmlns:r="http://schemas.openxmlformats.org/officeDocument/2006/relationships" ref="D91" r:id="rId60"/>
    <hyperlink xmlns:r="http://schemas.openxmlformats.org/officeDocument/2006/relationships" ref="D92" r:id="rId61"/>
    <hyperlink xmlns:r="http://schemas.openxmlformats.org/officeDocument/2006/relationships" ref="D93" r:id="rId62"/>
    <hyperlink xmlns:r="http://schemas.openxmlformats.org/officeDocument/2006/relationships" ref="D94" r:id="rId63"/>
    <hyperlink xmlns:r="http://schemas.openxmlformats.org/officeDocument/2006/relationships" ref="D95" r:id="rId64"/>
    <hyperlink xmlns:r="http://schemas.openxmlformats.org/officeDocument/2006/relationships" ref="D96" r:id="rId65"/>
    <hyperlink xmlns:r="http://schemas.openxmlformats.org/officeDocument/2006/relationships" ref="D97" r:id="rId66"/>
    <hyperlink xmlns:r="http://schemas.openxmlformats.org/officeDocument/2006/relationships" ref="D99" r:id="rId67"/>
    <hyperlink xmlns:r="http://schemas.openxmlformats.org/officeDocument/2006/relationships" ref="D100" r:id="rId68"/>
    <hyperlink xmlns:r="http://schemas.openxmlformats.org/officeDocument/2006/relationships" ref="D101" r:id="rId69"/>
    <hyperlink xmlns:r="http://schemas.openxmlformats.org/officeDocument/2006/relationships" ref="D102" r:id="rId70"/>
    <hyperlink xmlns:r="http://schemas.openxmlformats.org/officeDocument/2006/relationships" ref="D103" r:id="rId71"/>
    <hyperlink xmlns:r="http://schemas.openxmlformats.org/officeDocument/2006/relationships" ref="D104" r:id="rId72"/>
    <hyperlink xmlns:r="http://schemas.openxmlformats.org/officeDocument/2006/relationships" ref="D106" r:id="rId73"/>
    <hyperlink xmlns:r="http://schemas.openxmlformats.org/officeDocument/2006/relationships" ref="D107" r:id="rId74"/>
    <hyperlink xmlns:r="http://schemas.openxmlformats.org/officeDocument/2006/relationships" ref="D108" r:id="rId75"/>
    <hyperlink xmlns:r="http://schemas.openxmlformats.org/officeDocument/2006/relationships" ref="D109" r:id="rId76"/>
    <hyperlink xmlns:r="http://schemas.openxmlformats.org/officeDocument/2006/relationships" ref="D110" r:id="rId77"/>
    <hyperlink xmlns:r="http://schemas.openxmlformats.org/officeDocument/2006/relationships" ref="D111" r:id="rId78"/>
    <hyperlink xmlns:r="http://schemas.openxmlformats.org/officeDocument/2006/relationships" ref="D113" r:id="rId79"/>
    <hyperlink xmlns:r="http://schemas.openxmlformats.org/officeDocument/2006/relationships" ref="D114" r:id="rId80"/>
    <hyperlink xmlns:r="http://schemas.openxmlformats.org/officeDocument/2006/relationships" ref="D115" r:id="rId81"/>
    <hyperlink xmlns:r="http://schemas.openxmlformats.org/officeDocument/2006/relationships" ref="D116" r:id="rId82"/>
    <hyperlink xmlns:r="http://schemas.openxmlformats.org/officeDocument/2006/relationships" ref="D117" r:id="rId83"/>
    <hyperlink xmlns:r="http://schemas.openxmlformats.org/officeDocument/2006/relationships" ref="D118" r:id="rId84"/>
    <hyperlink xmlns:r="http://schemas.openxmlformats.org/officeDocument/2006/relationships" ref="D120" r:id="rId85"/>
    <hyperlink xmlns:r="http://schemas.openxmlformats.org/officeDocument/2006/relationships" ref="D121" r:id="rId86"/>
    <hyperlink xmlns:r="http://schemas.openxmlformats.org/officeDocument/2006/relationships" ref="D122" r:id="rId87"/>
    <hyperlink xmlns:r="http://schemas.openxmlformats.org/officeDocument/2006/relationships" ref="D123" r:id="rId88"/>
    <hyperlink xmlns:r="http://schemas.openxmlformats.org/officeDocument/2006/relationships" ref="D124" r:id="rId89"/>
    <hyperlink xmlns:r="http://schemas.openxmlformats.org/officeDocument/2006/relationships" ref="D125" r:id="rId90"/>
    <hyperlink xmlns:r="http://schemas.openxmlformats.org/officeDocument/2006/relationships" ref="D127" r:id="rId91"/>
    <hyperlink xmlns:r="http://schemas.openxmlformats.org/officeDocument/2006/relationships" ref="D128" r:id="rId92"/>
    <hyperlink xmlns:r="http://schemas.openxmlformats.org/officeDocument/2006/relationships" ref="D129" r:id="rId93"/>
    <hyperlink xmlns:r="http://schemas.openxmlformats.org/officeDocument/2006/relationships" ref="D130" r:id="rId94"/>
    <hyperlink xmlns:r="http://schemas.openxmlformats.org/officeDocument/2006/relationships" ref="D131" r:id="rId95"/>
    <hyperlink xmlns:r="http://schemas.openxmlformats.org/officeDocument/2006/relationships" ref="D132" r:id="rId96"/>
    <hyperlink xmlns:r="http://schemas.openxmlformats.org/officeDocument/2006/relationships" ref="D134" r:id="rId97"/>
    <hyperlink xmlns:r="http://schemas.openxmlformats.org/officeDocument/2006/relationships" ref="D135" r:id="rId98"/>
    <hyperlink xmlns:r="http://schemas.openxmlformats.org/officeDocument/2006/relationships" ref="D136" r:id="rId99"/>
    <hyperlink xmlns:r="http://schemas.openxmlformats.org/officeDocument/2006/relationships" ref="D137" r:id="rId100"/>
    <hyperlink xmlns:r="http://schemas.openxmlformats.org/officeDocument/2006/relationships" ref="D138" r:id="rId101"/>
    <hyperlink xmlns:r="http://schemas.openxmlformats.org/officeDocument/2006/relationships" ref="D139" r:id="rId102"/>
    <hyperlink xmlns:r="http://schemas.openxmlformats.org/officeDocument/2006/relationships" ref="D141" r:id="rId103"/>
    <hyperlink xmlns:r="http://schemas.openxmlformats.org/officeDocument/2006/relationships" ref="D142" r:id="rId104"/>
    <hyperlink xmlns:r="http://schemas.openxmlformats.org/officeDocument/2006/relationships" ref="D143" r:id="rId105"/>
    <hyperlink xmlns:r="http://schemas.openxmlformats.org/officeDocument/2006/relationships" ref="D144" r:id="rId106"/>
    <hyperlink xmlns:r="http://schemas.openxmlformats.org/officeDocument/2006/relationships" ref="D145" r:id="rId107"/>
    <hyperlink xmlns:r="http://schemas.openxmlformats.org/officeDocument/2006/relationships" ref="D146" r:id="rId108"/>
    <hyperlink xmlns:r="http://schemas.openxmlformats.org/officeDocument/2006/relationships" ref="D148" r:id="rId109"/>
    <hyperlink xmlns:r="http://schemas.openxmlformats.org/officeDocument/2006/relationships" ref="D149" r:id="rId110"/>
    <hyperlink xmlns:r="http://schemas.openxmlformats.org/officeDocument/2006/relationships" ref="D150" r:id="rId111"/>
    <hyperlink xmlns:r="http://schemas.openxmlformats.org/officeDocument/2006/relationships" ref="D151" r:id="rId112"/>
    <hyperlink xmlns:r="http://schemas.openxmlformats.org/officeDocument/2006/relationships" ref="D152" r:id="rId113"/>
    <hyperlink xmlns:r="http://schemas.openxmlformats.org/officeDocument/2006/relationships" ref="D153" r:id="rId114"/>
    <hyperlink xmlns:r="http://schemas.openxmlformats.org/officeDocument/2006/relationships" ref="D154" r:id="rId1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2026-10-26T22:41:50Z</dcterms:created>
  <dcterms:modified xmlns:dcterms="http://purl.org/dc/terms/" xmlns:xsi="http://www.w3.org/2001/XMLSchema-instance" xsi:type="dcterms:W3CDTF">2026-10-26T22:41:50Z</dcterms:modified>
</cp:coreProperties>
</file>