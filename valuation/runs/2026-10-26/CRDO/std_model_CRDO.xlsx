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Valuation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Distribution" sheetId="5" state="visible" r:id="rId5"/>
    <sheet xmlns:r="http://schemas.openxmlformats.org/officeDocument/2006/relationships" name="Calc - research target (12m)" sheetId="6" state="visible" r:id="rId6"/>
    <sheet xmlns:r="http://schemas.openxmlformats.org/officeDocument/2006/relationships" name="Calc - bear" sheetId="7" state="visible" r:id="rId7"/>
    <sheet xmlns:r="http://schemas.openxmlformats.org/officeDocument/2006/relationships" name="Calc - base" sheetId="8" state="visible" r:id="rId8"/>
    <sheet xmlns:r="http://schemas.openxmlformats.org/officeDocument/2006/relationships" name="Calc - bull" sheetId="9" state="visible" r:id="rId9"/>
    <sheet xmlns:r="http://schemas.openxmlformats.org/officeDocument/2006/relationships" name="Agents" sheetId="10" state="visible" r:id="rId10"/>
    <sheet xmlns:r="http://schemas.openxmlformats.org/officeDocument/2006/relationships" name="Sour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yyyy-mm-dd"/>
    <numFmt numFmtId="165" formatCode="#,##0;(#,##0)"/>
    <numFmt numFmtId="166" formatCode="0.0%"/>
    <numFmt numFmtId="167" formatCode="0.00&quot;x&quot;"/>
    <numFmt numFmtId="168" formatCode="#,##0.0"/>
    <numFmt numFmtId="169" formatCode="$0.00"/>
    <numFmt numFmtId="170" formatCode="0.0"/>
    <numFmt numFmtId="171" formatCode="0&quot; bp&quot;;-0&quot; bp&quot;"/>
    <numFmt numFmtId="172" formatCode="0.000"/>
    <numFmt numFmtId="173" formatCode="0.0000"/>
    <numFmt numFmtId="174" formatCode="0.0&quot;x&quot;"/>
    <numFmt numFmtId="175" formatCode="+0.0%;-0.0%;0.0%"/>
    <numFmt numFmtId="176" formatCode="yyyy-mm-dd hh:mm"/>
  </numFmts>
  <fonts count="9">
    <font>
      <name val="Calibri"/>
      <family val="2"/>
      <color theme="1"/>
      <sz val="11"/>
      <scheme val="minor"/>
    </font>
    <font>
      <b val="1"/>
    </font>
    <font>
      <color rgb="000000FF"/>
    </font>
    <font>
      <i val="1"/>
      <color rgb="00444444"/>
    </font>
    <font>
      <b val="1"/>
      <sz val="13"/>
    </font>
    <font>
      <i val="1"/>
      <color rgb="00666666"/>
    </font>
    <font>
      <color rgb="00008000"/>
    </font>
    <font>
      <color rgb="007030A0"/>
    </font>
    <font>
      <color rgb="00C55A11"/>
    </font>
  </fonts>
  <fills count="4">
    <fill>
      <patternFill/>
    </fill>
    <fill>
      <patternFill patternType="gray125"/>
    </fill>
    <fill>
      <patternFill patternType="solid">
        <fgColor rgb="00D9E2F0"/>
      </patternFill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2" fontId="6" fillId="0" borderId="0" pivotButton="0" quotePrefix="0" xfId="0"/>
    <xf numFmtId="176" fontId="0" fillId="0" borderId="0" pivotButton="0" quotePrefix="0" xfId="0"/>
    <xf numFmtId="2" fontId="1" fillId="0" borderId="0" pivotButton="0" quotePrefix="0" xfId="0"/>
    <xf numFmtId="166" fontId="1" fillId="0" borderId="0" pivotButton="0" quotePrefix="0" xfId="0"/>
    <xf numFmtId="164" fontId="6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0" fontId="3" fillId="0" borderId="0" pivotButton="0" quotePrefix="0" xfId="0"/>
    <xf numFmtId="166" fontId="6" fillId="0" borderId="0" pivotButton="0" quotePrefix="0" xfId="0"/>
    <xf numFmtId="169" fontId="6" fillId="0" borderId="0" pivotButton="0" quotePrefix="0" xfId="0"/>
    <xf numFmtId="0" fontId="8" fillId="0" borderId="0" pivotButton="0" quotePrefix="0" xfId="0"/>
    <xf numFmtId="169" fontId="8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top" wrapText="1"/>
    </xf>
    <xf numFmtId="166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2" fillId="0" borderId="0" pivotButton="0" quotePrefix="0" xfId="0"/>
    <xf numFmtId="165" fontId="1" fillId="0" borderId="0" pivotButton="0" quotePrefix="0" xfId="0"/>
    <xf numFmtId="165" fontId="2" fillId="0" borderId="0" pivotButton="0" quotePrefix="0" xfId="0"/>
    <xf numFmtId="166" fontId="3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69" fontId="1" fillId="0" borderId="0" pivotButton="0" quotePrefix="0" xfId="0"/>
    <xf numFmtId="166" fontId="7" fillId="0" borderId="0" pivotButton="0" quotePrefix="0" xfId="0"/>
    <xf numFmtId="171" fontId="3" fillId="0" borderId="0" pivotButton="0" quotePrefix="0" xfId="0"/>
    <xf numFmtId="165" fontId="7" fillId="0" borderId="0" pivotButton="0" quotePrefix="0" xfId="0"/>
    <xf numFmtId="165" fontId="8" fillId="0" borderId="0" pivotButton="0" quotePrefix="0" xfId="0"/>
    <xf numFmtId="4" fontId="6" fillId="0" borderId="0" pivotButton="0" quotePrefix="0" xfId="0"/>
    <xf numFmtId="168" fontId="6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2" fontId="2" fillId="0" borderId="0" pivotButton="0" quotePrefix="0" xfId="0"/>
    <xf numFmtId="169" fontId="2" fillId="0" borderId="0" pivotButton="0" quotePrefix="0" xfId="0"/>
    <xf numFmtId="170" fontId="2" fillId="0" borderId="0" pivotButton="0" quotePrefix="0" xfId="0"/>
    <xf numFmtId="0" fontId="0" fillId="0" borderId="0" applyAlignment="1" pivotButton="0" quotePrefix="0" xfId="0">
      <alignment vertical="top" wrapText="1"/>
    </xf>
    <xf numFmtId="174" fontId="1" fillId="0" borderId="0" pivotButton="0" quotePrefix="0" xfId="0"/>
    <xf numFmtId="175" fontId="1" fillId="0" borderId="0" pivotButton="0" quotePrefix="0" xfId="0"/>
    <xf numFmtId="173" fontId="0" fillId="0" borderId="0" pivotButton="0" quotePrefix="0" xfId="0"/>
    <xf numFmtId="170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0" fontId="6" fillId="0" borderId="0" pivotButton="0" quotePrefix="0" xfId="0"/>
    <xf numFmtId="17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247wallst.com/investing/2026/09/21/credo-technology-crashed-for-3-months-this-wall-street-pro-says-its-about-to-double/" TargetMode="External" Id="rId1"/><Relationship Type="http://schemas.openxmlformats.org/officeDocument/2006/relationships/hyperlink" Target="https://seekingalpha.com/article/4940940-credo-is-entering-its-hardest-test" TargetMode="External" Id="rId2"/><Relationship Type="http://schemas.openxmlformats.org/officeDocument/2006/relationships/hyperlink" Target="https://stockanalysis.com/stocks/crdo/forecast/" TargetMode="External" Id="rId3"/><Relationship Type="http://schemas.openxmlformats.org/officeDocument/2006/relationships/hyperlink" Target="https://alcapitaladvisory.com/research/equities/crdo.html" TargetMode="External" Id="rId4"/><Relationship Type="http://schemas.openxmlformats.org/officeDocument/2006/relationships/hyperlink" Target="https://www.tipranks.com/stocks/crdo/earnings" TargetMode="External" Id="rId5"/><Relationship Type="http://schemas.openxmlformats.org/officeDocument/2006/relationships/hyperlink" Target="https://ca.investing.com/news/stock-market-news/why-is-credo-technology-stock-rallying-today-93CH-4846693" TargetMode="External" Id="rId6"/><Relationship Type="http://schemas.openxmlformats.org/officeDocument/2006/relationships/hyperlink" Target="https://www.trefis.com/stock/crdo/articles/616737/a-9-day-winning-streak-has-credo-technology-stock-up-41/2026-09-26" TargetMode="External" Id="rId7"/><Relationship Type="http://schemas.openxmlformats.org/officeDocument/2006/relationships/hyperlink" Target="https://www.fool.com/investing/2026/09/06/hyperscalers-driving-ai-capex-cash-flow/" TargetMode="External" Id="rId8"/><Relationship Type="http://schemas.openxmlformats.org/officeDocument/2006/relationships/hyperlink" Target="https://www.datacenterdynamics.com/en/news/moodys-hyperscaler-capex-forecasts-marked-up-by-85bn-to-close-in-on-1trn-by-2027/" TargetMode="External" Id="rId9"/><Relationship Type="http://schemas.openxmlformats.org/officeDocument/2006/relationships/hyperlink" Target="https://www.sec.gov/Archives/edgar/data/0001807794/000162828026059795/credoq12027ex-991.htm" TargetMode="External" Id="rId10"/><Relationship Type="http://schemas.openxmlformats.org/officeDocument/2006/relationships/hyperlink" Target="https://www.sec.gov/Archives/edgar/data/1807794/000162828026060111/crdo-20260801.htm" TargetMode="External" Id="rId11"/><Relationship Type="http://schemas.openxmlformats.org/officeDocument/2006/relationships/hyperlink" Target="https://www.sec.gov/Archives/edgar/data/1807794/000162828026043303/crdo-20260502.htm" TargetMode="External" Id="rId12"/><Relationship Type="http://schemas.openxmlformats.org/officeDocument/2006/relationships/hyperlink" Target="https://www.sec.gov/Archives/edgar/data/1807794/000162828026039474/credoq42026ex-991.htm" TargetMode="External" Id="rId13"/><Relationship Type="http://schemas.openxmlformats.org/officeDocument/2006/relationships/hyperlink" Target="https://www.sec.gov/Archives/edgar/data/1807794/000162828026013205/credoq32026ex-9911.htm" TargetMode="External" Id="rId14"/><Relationship Type="http://schemas.openxmlformats.org/officeDocument/2006/relationships/hyperlink" Target="https://www.sec.gov/Archives/edgar/data/1807794/000162828026006370/feb20268-kex991.htm" TargetMode="External" Id="rId15"/><Relationship Type="http://schemas.openxmlformats.org/officeDocument/2006/relationships/hyperlink" Target="https://www.sec.gov/Archives/edgar/data/1807794/000162828025054428/credoq22026ex-991.htm" TargetMode="External" Id="rId16"/><Relationship Type="http://schemas.openxmlformats.org/officeDocument/2006/relationships/hyperlink" Target="https://www.sec.gov/Archives/edgar/data/1807794/000180779425000018/credoq12026ex-991.htm" TargetMode="External" Id="rId17"/><Relationship Type="http://schemas.openxmlformats.org/officeDocument/2006/relationships/hyperlink" Target="https://www.sec.gov/Archives/edgar/data/1807794/000162828025028827/credoq42025ex-991.htm" TargetMode="External" Id="rId18"/><Relationship Type="http://schemas.openxmlformats.org/officeDocument/2006/relationships/hyperlink" Target="https://www.sec.gov/Archives/edgar/data/1807794/000162828025009813/credoq32025ex-991.htm" TargetMode="External" Id="rId19"/><Relationship Type="http://schemas.openxmlformats.org/officeDocument/2006/relationships/hyperlink" Target="https://www.sec.gov/Archives/edgar/data/1807794/000162828024049564/credoq22025ex-991.htm" TargetMode="External" Id="rId20"/><Relationship Type="http://schemas.openxmlformats.org/officeDocument/2006/relationships/hyperlink" Target="https://www.sec.gov/Archives/edgar/data/1807794/000162828024039309/credoq12025ex-991.htm" TargetMode="External" Id="rId21"/><Relationship Type="http://schemas.openxmlformats.org/officeDocument/2006/relationships/hyperlink" Target="https://www.fool.com/earnings/call-transcripts/2026/09/08/credo-crdo-q1-2027-earnings-call-transcript/" TargetMode="External" Id="rId22"/><Relationship Type="http://schemas.openxmlformats.org/officeDocument/2006/relationships/hyperlink" Target="/mnt/project-files/adhoc/nvda_customer_capex.md" TargetMode="External" Id="rId23"/><Relationship Type="http://schemas.openxmlformats.org/officeDocument/2006/relationships/hyperlink" Target="https://abc.xyz/investor/events/event-details/2026/2025-Q4-Earnings-Call-2026-Dr_C033hS6/default.aspx" TargetMode="External" Id="rId24"/><Relationship Type="http://schemas.openxmlformats.org/officeDocument/2006/relationships/hyperlink" Target="https://www.sec.gov/Archives/edgar/data/1326801/000162828026003832/meta-12312025xexhibit991.htm" TargetMode="External" Id="rId25"/><Relationship Type="http://schemas.openxmlformats.org/officeDocument/2006/relationships/hyperlink" Target="https://www.sec.gov/Archives/edgar/data/1018724/000101872426000002/amzn-20251231xex991.htm" TargetMode="External" Id="rId26"/><Relationship Type="http://schemas.openxmlformats.org/officeDocument/2006/relationships/hyperlink" Target="/mnt/project-files/valuation/runs/2026-10-23/CRDO/peers.md" TargetMode="External" Id="rId27"/><Relationship Type="http://schemas.openxmlformats.org/officeDocument/2006/relationships/hyperlink" Target="/mnt/project-files/valuation/data/estimates/CRDO.json" TargetMode="External" Id="rId28"/><Relationship Type="http://schemas.openxmlformats.org/officeDocument/2006/relationships/hyperlink" Target="https://query1.finance.yahoo.com/v8/finance/chart/CRDO?period1=1788220800&amp;period2=1792972800&amp;interval=1d" TargetMode="External" Id="rId29"/><Relationship Type="http://schemas.openxmlformats.org/officeDocument/2006/relationships/hyperlink" Target="https://www.sec.gov/Archives/edgar/data/1807794/000162828025033813/crdo-20250503.htm" TargetMode="External" Id="rId30"/><Relationship Type="http://schemas.openxmlformats.org/officeDocument/2006/relationships/hyperlink" Target="https://www.sec.gov/Archives/edgar/data/1437424/000149315226014253/form20-f.htm" TargetMode="External" Id="rId31"/><Relationship Type="http://schemas.openxmlformats.org/officeDocument/2006/relationships/hyperlink" Target="https://www.lightwaveonline.com/home/news/55410716/ethernet-optical-transceiver-set-to-grow-120-in-2026" TargetMode="External" Id="rId32"/><Relationship Type="http://schemas.openxmlformats.org/officeDocument/2006/relationships/hyperlink" Target="https://lightwaveonline.com/home/article/55362899/ai-scale-up-raises-the-stakes-for-transceivers-and-cpo-adoption" TargetMode="External" Id="rId33"/><Relationship Type="http://schemas.openxmlformats.org/officeDocument/2006/relationships/hyperlink" Target="https://investors.credosemi.com/news-events/news/news-details/2026/Credo-Agrees-to-Acquire-DustPhotonics-Accelerating-Expansion-into-Silicon-Photonics-and-Next-Generation-Optical-Connectivity/default.aspx" TargetMode="External" Id="rId34"/><Relationship Type="http://schemas.openxmlformats.org/officeDocument/2006/relationships/hyperlink" Target="https://www.sec.gov/Archives/edgar/data/1807794/000162828026043303/" TargetMode="External" Id="rId35"/><Relationship Type="http://schemas.openxmlformats.org/officeDocument/2006/relationships/hyperlink" Target="https://www.sec.gov/Archives/edgar/data/1807794/000162828026043303/" TargetMode="External" Id="rId36"/><Relationship Type="http://schemas.openxmlformats.org/officeDocument/2006/relationships/hyperlink" Target="https://www.sec.gov/Archives/edgar/data/1807794/000162828026043303/" TargetMode="External" Id="rId37"/><Relationship Type="http://schemas.openxmlformats.org/officeDocument/2006/relationships/hyperlink" Target="https://www.sec.gov/Archives/edgar/data/1807794/000162828026060111/" TargetMode="External" Id="rId38"/><Relationship Type="http://schemas.openxmlformats.org/officeDocument/2006/relationships/hyperlink" Target="https://www.sec.gov/Archives/edgar/data/1807794/000162828026060111/" TargetMode="External" Id="rId39"/><Relationship Type="http://schemas.openxmlformats.org/officeDocument/2006/relationships/hyperlink" Target="https://www.sec.gov/Archives/edgar/data/1807794/000162828026060111/" TargetMode="External" Id="rId40"/><Relationship Type="http://schemas.openxmlformats.org/officeDocument/2006/relationships/hyperlink" Target="https://www.sec.gov/Archives/edgar/data/1807794/000162828026043303/" TargetMode="External" Id="rId41"/><Relationship Type="http://schemas.openxmlformats.org/officeDocument/2006/relationships/hyperlink" Target="https://www.sec.gov/Archives/edgar/data/1807794/000162828026043303/" TargetMode="External" Id="rId42"/><Relationship Type="http://schemas.openxmlformats.org/officeDocument/2006/relationships/hyperlink" Target="https://www.sec.gov/Archives/edgar/data/1807794/000162828026043303/" TargetMode="External" Id="rId43"/><Relationship Type="http://schemas.openxmlformats.org/officeDocument/2006/relationships/hyperlink" Target="https://www.sec.gov/Archives/edgar/data/1807794/000162828026060111/" TargetMode="External" Id="rId44"/><Relationship Type="http://schemas.openxmlformats.org/officeDocument/2006/relationships/hyperlink" Target="https://www.sec.gov/Archives/edgar/data/1807794/000162828026060111/" TargetMode="External" Id="rId45"/><Relationship Type="http://schemas.openxmlformats.org/officeDocument/2006/relationships/hyperlink" Target="https://www.sec.gov/Archives/edgar/data/1807794/000162828026060111/" TargetMode="External" Id="rId46"/><Relationship Type="http://schemas.openxmlformats.org/officeDocument/2006/relationships/hyperlink" Target="https://www.sec.gov/Archives/edgar/data/1807794/000162828026043303/" TargetMode="External" Id="rId47"/><Relationship Type="http://schemas.openxmlformats.org/officeDocument/2006/relationships/hyperlink" Target="https://www.sec.gov/Archives/edgar/data/1807794/000162828026043303/" TargetMode="External" Id="rId48"/><Relationship Type="http://schemas.openxmlformats.org/officeDocument/2006/relationships/hyperlink" Target="https://www.sec.gov/Archives/edgar/data/1807794/000162828026043303/" TargetMode="External" Id="rId49"/><Relationship Type="http://schemas.openxmlformats.org/officeDocument/2006/relationships/hyperlink" Target="https://www.sec.gov/Archives/edgar/data/1807794/000162828026060111/" TargetMode="External" Id="rId50"/><Relationship Type="http://schemas.openxmlformats.org/officeDocument/2006/relationships/hyperlink" Target="https://www.sec.gov/Archives/edgar/data/1807794/000162828026060111/" TargetMode="External" Id="rId51"/><Relationship Type="http://schemas.openxmlformats.org/officeDocument/2006/relationships/hyperlink" Target="https://www.sec.gov/Archives/edgar/data/1807794/000162828026060111/" TargetMode="External" Id="rId52"/><Relationship Type="http://schemas.openxmlformats.org/officeDocument/2006/relationships/hyperlink" Target="https://www.sec.gov/Archives/edgar/data/1807794/000162828026043303/" TargetMode="External" Id="rId53"/><Relationship Type="http://schemas.openxmlformats.org/officeDocument/2006/relationships/hyperlink" Target="https://www.sec.gov/Archives/edgar/data/1807794/000162828026043303/" TargetMode="External" Id="rId54"/><Relationship Type="http://schemas.openxmlformats.org/officeDocument/2006/relationships/hyperlink" Target="https://www.sec.gov/Archives/edgar/data/1807794/000162828026043303/" TargetMode="External" Id="rId55"/><Relationship Type="http://schemas.openxmlformats.org/officeDocument/2006/relationships/hyperlink" Target="https://www.sec.gov/Archives/edgar/data/1807794/000162828026060111/" TargetMode="External" Id="rId56"/><Relationship Type="http://schemas.openxmlformats.org/officeDocument/2006/relationships/hyperlink" Target="https://www.sec.gov/Archives/edgar/data/1807794/000162828026060111/" TargetMode="External" Id="rId57"/><Relationship Type="http://schemas.openxmlformats.org/officeDocument/2006/relationships/hyperlink" Target="https://www.sec.gov/Archives/edgar/data/1807794/000162828026060111/" TargetMode="External" Id="rId58"/><Relationship Type="http://schemas.openxmlformats.org/officeDocument/2006/relationships/hyperlink" Target="https://www.sec.gov/Archives/edgar/data/1807794/000162828026043303/" TargetMode="External" Id="rId59"/><Relationship Type="http://schemas.openxmlformats.org/officeDocument/2006/relationships/hyperlink" Target="https://www.sec.gov/Archives/edgar/data/1807794/000162828026043303/" TargetMode="External" Id="rId60"/><Relationship Type="http://schemas.openxmlformats.org/officeDocument/2006/relationships/hyperlink" Target="https://www.sec.gov/Archives/edgar/data/1807794/000162828026043303/" TargetMode="External" Id="rId61"/><Relationship Type="http://schemas.openxmlformats.org/officeDocument/2006/relationships/hyperlink" Target="https://www.sec.gov/Archives/edgar/data/1807794/000162828026060111/" TargetMode="External" Id="rId62"/><Relationship Type="http://schemas.openxmlformats.org/officeDocument/2006/relationships/hyperlink" Target="https://www.sec.gov/Archives/edgar/data/1807794/000162828026060111/" TargetMode="External" Id="rId63"/><Relationship Type="http://schemas.openxmlformats.org/officeDocument/2006/relationships/hyperlink" Target="https://www.sec.gov/Archives/edgar/data/1807794/000162828026060111/" TargetMode="External" Id="rId64"/><Relationship Type="http://schemas.openxmlformats.org/officeDocument/2006/relationships/hyperlink" Target="https://www.sec.gov/Archives/edgar/data/1807794/000162828026043303/" TargetMode="External" Id="rId65"/><Relationship Type="http://schemas.openxmlformats.org/officeDocument/2006/relationships/hyperlink" Target="https://www.sec.gov/Archives/edgar/data/1807794/000162828026043303/" TargetMode="External" Id="rId66"/><Relationship Type="http://schemas.openxmlformats.org/officeDocument/2006/relationships/hyperlink" Target="https://www.sec.gov/Archives/edgar/data/1807794/000162828026043303/" TargetMode="External" Id="rId67"/><Relationship Type="http://schemas.openxmlformats.org/officeDocument/2006/relationships/hyperlink" Target="https://www.sec.gov/Archives/edgar/data/1807794/000162828026060111/" TargetMode="External" Id="rId68"/><Relationship Type="http://schemas.openxmlformats.org/officeDocument/2006/relationships/hyperlink" Target="https://www.sec.gov/Archives/edgar/data/1807794/000162828026060111/" TargetMode="External" Id="rId69"/><Relationship Type="http://schemas.openxmlformats.org/officeDocument/2006/relationships/hyperlink" Target="https://www.sec.gov/Archives/edgar/data/1807794/000162828026060111/" TargetMode="External" Id="rId70"/><Relationship Type="http://schemas.openxmlformats.org/officeDocument/2006/relationships/hyperlink" Target="https://www.sec.gov/Archives/edgar/data/1807794/000162828026043303/" TargetMode="External" Id="rId71"/><Relationship Type="http://schemas.openxmlformats.org/officeDocument/2006/relationships/hyperlink" Target="https://www.sec.gov/Archives/edgar/data/1807794/000162828026043303/" TargetMode="External" Id="rId72"/><Relationship Type="http://schemas.openxmlformats.org/officeDocument/2006/relationships/hyperlink" Target="https://www.sec.gov/Archives/edgar/data/1807794/000162828026043303/" TargetMode="External" Id="rId73"/><Relationship Type="http://schemas.openxmlformats.org/officeDocument/2006/relationships/hyperlink" Target="https://www.sec.gov/Archives/edgar/data/1807794/000162828026060111/" TargetMode="External" Id="rId74"/><Relationship Type="http://schemas.openxmlformats.org/officeDocument/2006/relationships/hyperlink" Target="https://www.sec.gov/Archives/edgar/data/1807794/000162828026060111/" TargetMode="External" Id="rId75"/><Relationship Type="http://schemas.openxmlformats.org/officeDocument/2006/relationships/hyperlink" Target="https://www.sec.gov/Archives/edgar/data/1807794/000162828026060111/" TargetMode="External" Id="rId76"/><Relationship Type="http://schemas.openxmlformats.org/officeDocument/2006/relationships/hyperlink" Target="https://www.sec.gov/Archives/edgar/data/1807794/000162828026043303/" TargetMode="External" Id="rId77"/><Relationship Type="http://schemas.openxmlformats.org/officeDocument/2006/relationships/hyperlink" Target="https://www.sec.gov/Archives/edgar/data/1807794/000162828026043303/" TargetMode="External" Id="rId78"/><Relationship Type="http://schemas.openxmlformats.org/officeDocument/2006/relationships/hyperlink" Target="https://www.sec.gov/Archives/edgar/data/1807794/000162828026043303/" TargetMode="External" Id="rId79"/><Relationship Type="http://schemas.openxmlformats.org/officeDocument/2006/relationships/hyperlink" Target="https://www.sec.gov/Archives/edgar/data/1807794/000162828026060111/" TargetMode="External" Id="rId80"/><Relationship Type="http://schemas.openxmlformats.org/officeDocument/2006/relationships/hyperlink" Target="https://www.sec.gov/Archives/edgar/data/1807794/000162828026060111/" TargetMode="External" Id="rId81"/><Relationship Type="http://schemas.openxmlformats.org/officeDocument/2006/relationships/hyperlink" Target="https://www.sec.gov/Archives/edgar/data/1807794/000162828026060111/" TargetMode="External" Id="rId82"/><Relationship Type="http://schemas.openxmlformats.org/officeDocument/2006/relationships/hyperlink" Target="https://www.sec.gov/Archives/edgar/data/1807794/000162828026043303/" TargetMode="External" Id="rId83"/><Relationship Type="http://schemas.openxmlformats.org/officeDocument/2006/relationships/hyperlink" Target="https://www.sec.gov/Archives/edgar/data/1807794/000162828026043303/" TargetMode="External" Id="rId84"/><Relationship Type="http://schemas.openxmlformats.org/officeDocument/2006/relationships/hyperlink" Target="https://www.sec.gov/Archives/edgar/data/1807794/000162828026043303/" TargetMode="External" Id="rId85"/><Relationship Type="http://schemas.openxmlformats.org/officeDocument/2006/relationships/hyperlink" Target="https://www.sec.gov/Archives/edgar/data/1807794/000162828026060111/" TargetMode="External" Id="rId86"/><Relationship Type="http://schemas.openxmlformats.org/officeDocument/2006/relationships/hyperlink" Target="https://www.sec.gov/Archives/edgar/data/1807794/000162828026060111/" TargetMode="External" Id="rId87"/><Relationship Type="http://schemas.openxmlformats.org/officeDocument/2006/relationships/hyperlink" Target="https://www.sec.gov/Archives/edgar/data/1807794/000162828026060111/" TargetMode="External" Id="rId88"/><Relationship Type="http://schemas.openxmlformats.org/officeDocument/2006/relationships/hyperlink" Target="https://www.sec.gov/Archives/edgar/data/1807794/000162828026043303/" TargetMode="External" Id="rId89"/><Relationship Type="http://schemas.openxmlformats.org/officeDocument/2006/relationships/hyperlink" Target="https://www.sec.gov/Archives/edgar/data/1807794/000162828026043303/" TargetMode="External" Id="rId90"/><Relationship Type="http://schemas.openxmlformats.org/officeDocument/2006/relationships/hyperlink" Target="https://www.sec.gov/Archives/edgar/data/1807794/000162828026043303/" TargetMode="External" Id="rId91"/><Relationship Type="http://schemas.openxmlformats.org/officeDocument/2006/relationships/hyperlink" Target="https://www.sec.gov/Archives/edgar/data/1807794/000162828026060111/" TargetMode="External" Id="rId92"/><Relationship Type="http://schemas.openxmlformats.org/officeDocument/2006/relationships/hyperlink" Target="https://www.sec.gov/Archives/edgar/data/1807794/000162828026060111/" TargetMode="External" Id="rId93"/><Relationship Type="http://schemas.openxmlformats.org/officeDocument/2006/relationships/hyperlink" Target="https://www.sec.gov/Archives/edgar/data/1807794/000162828026060111/" TargetMode="External" Id="rId94"/><Relationship Type="http://schemas.openxmlformats.org/officeDocument/2006/relationships/hyperlink" Target="https://www.sec.gov/Archives/edgar/data/1807794/000162828026043303/" TargetMode="External" Id="rId95"/><Relationship Type="http://schemas.openxmlformats.org/officeDocument/2006/relationships/hyperlink" Target="https://www.sec.gov/Archives/edgar/data/1807794/000162828026043303/" TargetMode="External" Id="rId96"/><Relationship Type="http://schemas.openxmlformats.org/officeDocument/2006/relationships/hyperlink" Target="https://www.sec.gov/Archives/edgar/data/1807794/000162828026043303/" TargetMode="External" Id="rId97"/><Relationship Type="http://schemas.openxmlformats.org/officeDocument/2006/relationships/hyperlink" Target="https://www.sec.gov/Archives/edgar/data/1807794/000162828026060111/" TargetMode="External" Id="rId98"/><Relationship Type="http://schemas.openxmlformats.org/officeDocument/2006/relationships/hyperlink" Target="https://www.sec.gov/Archives/edgar/data/1807794/000162828026060111/" TargetMode="External" Id="rId99"/><Relationship Type="http://schemas.openxmlformats.org/officeDocument/2006/relationships/hyperlink" Target="https://www.sec.gov/Archives/edgar/data/1807794/000162828026060111/" TargetMode="External" Id="rId100"/><Relationship Type="http://schemas.openxmlformats.org/officeDocument/2006/relationships/hyperlink" Target="https://www.sec.gov/Archives/edgar/data/1807794/000162828026060111/" TargetMode="External" Id="rId101"/><Relationship Type="http://schemas.openxmlformats.org/officeDocument/2006/relationships/hyperlink" Target="https://www.sec.gov/Archives/edgar/data/1807794/000162828026060111/" TargetMode="External" Id="rId102"/><Relationship Type="http://schemas.openxmlformats.org/officeDocument/2006/relationships/hyperlink" Target="https://www.sec.gov/Archives/edgar/data/1807794/000162828026060111/" TargetMode="External" Id="rId103"/><Relationship Type="http://schemas.openxmlformats.org/officeDocument/2006/relationships/hyperlink" Target="https://www.sec.gov/Archives/edgar/data/1807794/000162828026060111/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CRDO standard model (trial) · research run 2026-10-26</t>
        </is>
      </c>
    </row>
    <row r="2">
      <c r="A2" s="2" t="inlineStr">
        <is>
          <t>The supervisor's reconciled assumption set as a live model. Trial: shown beside the blended page target, not used for trade levels until its weight is decided. Edit blue cells on Model (drivers) and Valuation (assumptions).</t>
        </is>
      </c>
    </row>
    <row r="3">
      <c r="A3" s="3" t="inlineStr">
        <is>
          <t>Price target box</t>
        </is>
      </c>
      <c r="B3" s="3" t="inlineStr">
        <is>
          <t>Value</t>
        </is>
      </c>
    </row>
    <row r="4">
      <c r="A4" t="inlineStr">
        <is>
          <t>Live price</t>
        </is>
      </c>
      <c r="B4" s="4">
        <f>IFERROR(GOOGLEFINANCE("CRDO","price"),Valuation!$B$67)</f>
        <v/>
      </c>
    </row>
    <row r="5">
      <c r="A5" t="inlineStr">
        <is>
          <t>Price as of</t>
        </is>
      </c>
      <c r="B5" s="5">
        <f>NOW()</f>
        <v/>
      </c>
    </row>
    <row r="6">
      <c r="A6" t="inlineStr">
        <is>
          <t>Model target (12-month median)</t>
        </is>
      </c>
      <c r="B6" s="6">
        <f>Distribution!$B$13</f>
        <v/>
      </c>
    </row>
    <row r="7">
      <c r="A7" t="inlineStr">
        <is>
          <t>Upside to model target from live price</t>
        </is>
      </c>
      <c r="B7" s="7">
        <f>B6/B4-1</f>
        <v/>
      </c>
    </row>
    <row r="8">
      <c r="A8" t="inlineStr">
        <is>
          <t>Research target (12m) (no scenario deltas)</t>
        </is>
      </c>
      <c r="B8" s="4">
        <f>Valuation!$D$7</f>
        <v/>
      </c>
    </row>
    <row r="9">
      <c r="A9" t="inlineStr">
        <is>
          <t>Probability-weighted mean</t>
        </is>
      </c>
      <c r="B9" s="4">
        <f>Distribution!$B$10</f>
        <v/>
      </c>
    </row>
    <row r="10">
      <c r="A10" t="inlineStr">
        <is>
          <t>10th percentile</t>
        </is>
      </c>
      <c r="B10" s="4">
        <f>Distribution!$B$14</f>
        <v/>
      </c>
    </row>
    <row r="11">
      <c r="A11" t="inlineStr">
        <is>
          <t>25th percentile</t>
        </is>
      </c>
      <c r="B11" s="4">
        <f>Distribution!$B$15</f>
        <v/>
      </c>
    </row>
    <row r="12">
      <c r="A12" t="inlineStr">
        <is>
          <t>75th percentile</t>
        </is>
      </c>
      <c r="B12" s="4">
        <f>Distribution!$B$16</f>
        <v/>
      </c>
    </row>
    <row r="13">
      <c r="A13" t="inlineStr">
        <is>
          <t>90th percentile</t>
        </is>
      </c>
      <c r="B13" s="4">
        <f>Distribution!$B$17</f>
        <v/>
      </c>
    </row>
    <row r="14">
      <c r="A14" t="inlineStr">
        <is>
          <t>Target date</t>
        </is>
      </c>
      <c r="B14" s="8">
        <f>Valuation!$B$45</f>
        <v/>
      </c>
    </row>
    <row r="15">
      <c r="A15" t="inlineStr">
        <is>
          <t>Price at the run</t>
        </is>
      </c>
      <c r="B15" s="4">
        <f>Valuation!$B$67</f>
        <v/>
      </c>
    </row>
    <row r="16">
      <c r="A16" t="inlineStr">
        <is>
          <t>Blended page target (options 67% + agents 33%, not live)</t>
        </is>
      </c>
      <c r="B16" s="9" t="n">
        <v>157.7201</v>
      </c>
    </row>
    <row r="17">
      <c r="A17" t="inlineStr">
        <is>
          <t>Supervisor research target (12m) (its own methods)</t>
        </is>
      </c>
      <c r="B17" s="9" t="n">
        <v>223</v>
      </c>
    </row>
    <row r="18">
      <c r="A18" t="inlineStr">
        <is>
          <t>Thesis break price (supervisor)</t>
        </is>
      </c>
      <c r="B18" s="9" t="n">
        <v>125</v>
      </c>
    </row>
    <row r="19">
      <c r="A19" t="inlineStr">
        <is>
          <t>Supervisor confidence</t>
        </is>
      </c>
      <c r="B19" t="inlineStr">
        <is>
          <t>low</t>
        </is>
      </c>
    </row>
    <row r="21">
      <c r="A21" s="3" t="inlineStr">
        <is>
          <t>Key estimates</t>
        </is>
      </c>
      <c r="B21" s="3" t="inlineStr">
        <is>
          <t>FY2026A</t>
        </is>
      </c>
      <c r="C21" s="3">
        <f>Model!E5</f>
        <v/>
      </c>
      <c r="D21" s="3">
        <f>Model!F5</f>
        <v/>
      </c>
    </row>
    <row r="22">
      <c r="A22" t="inlineStr">
        <is>
          <t>Net sales</t>
        </is>
      </c>
      <c r="B22" s="10">
        <f>IF(Model!D24="","",Model!D24)</f>
        <v/>
      </c>
      <c r="C22" s="10">
        <f>Model!E24</f>
        <v/>
      </c>
      <c r="D22" s="10">
        <f>Model!F24</f>
        <v/>
      </c>
    </row>
    <row r="23">
      <c r="A23" s="11" t="inlineStr">
        <is>
          <t xml:space="preserve">  % YoY</t>
        </is>
      </c>
      <c r="B23" s="12">
        <f>IF(Model!D25="","",Model!D25)</f>
        <v/>
      </c>
      <c r="C23" s="12">
        <f>Model!E25</f>
        <v/>
      </c>
      <c r="D23" s="12">
        <f>Model!F25</f>
        <v/>
      </c>
    </row>
    <row r="24">
      <c r="A24" t="inlineStr">
        <is>
          <t>Pretax margin</t>
        </is>
      </c>
      <c r="B24" s="12">
        <f>IF(Model!D35="","",Model!D35)</f>
        <v/>
      </c>
      <c r="C24" s="12">
        <f>Model!E35</f>
        <v/>
      </c>
      <c r="D24" s="12">
        <f>Model!F35</f>
        <v/>
      </c>
    </row>
    <row r="25">
      <c r="A25" t="inlineStr">
        <is>
          <t>Diluted EPS (model)</t>
        </is>
      </c>
      <c r="B25" s="13">
        <f>IF(Model!D42="","",Model!D42)</f>
        <v/>
      </c>
      <c r="C25" s="13">
        <f>Model!E42</f>
        <v/>
      </c>
      <c r="D25" s="13">
        <f>Model!F42</f>
        <v/>
      </c>
    </row>
    <row r="26">
      <c r="A26" s="11" t="inlineStr">
        <is>
          <t xml:space="preserve">  % YoY</t>
        </is>
      </c>
      <c r="B26" s="12">
        <f>IF(Model!D43="","",Model!D43)</f>
        <v/>
      </c>
      <c r="C26" s="12">
        <f>Model!E43</f>
        <v/>
      </c>
      <c r="D26" s="12">
        <f>Model!F43</f>
        <v/>
      </c>
    </row>
    <row r="27">
      <c r="A27" t="inlineStr">
        <is>
          <t>Free cash flow to firm</t>
        </is>
      </c>
      <c r="B27" s="10">
        <f>IF(Model!D52="","",Model!D52)</f>
        <v/>
      </c>
      <c r="C27" s="10">
        <f>Model!E52</f>
        <v/>
      </c>
      <c r="D27" s="10">
        <f>Model!F52</f>
        <v/>
      </c>
    </row>
    <row r="28">
      <c r="A28" s="14" t="inlineStr">
        <is>
          <t>Consensus: EPS (consensus)</t>
        </is>
      </c>
      <c r="C28" s="15" t="n">
        <v>6.31</v>
      </c>
    </row>
    <row r="29">
      <c r="A29" s="14" t="inlineStr">
        <is>
          <t>Consensus: EPS (consensus)</t>
        </is>
      </c>
      <c r="D29" s="15" t="n">
        <v>9.699999999999999</v>
      </c>
    </row>
    <row r="30">
      <c r="A30" s="14" t="inlineStr">
        <is>
          <t>Consensus: EPS (consensus)</t>
        </is>
      </c>
      <c r="C30" s="15" t="n">
        <v>5.02</v>
      </c>
    </row>
    <row r="31">
      <c r="A31" s="14" t="inlineStr">
        <is>
          <t>Consensus: EPS (consensus)</t>
        </is>
      </c>
      <c r="D31" s="15" t="n">
        <v>8.300000000000001</v>
      </c>
    </row>
    <row r="33">
      <c r="A33" s="3" t="inlineStr">
        <is>
          <t>Valuation method</t>
        </is>
      </c>
      <c r="B33" s="3" t="inlineStr">
        <is>
          <t>Value per share</t>
        </is>
      </c>
      <c r="C33" s="3" t="inlineStr">
        <is>
          <t>Weight</t>
        </is>
      </c>
    </row>
    <row r="34">
      <c r="A34" s="16">
        <f>Valuation!A4</f>
        <v/>
      </c>
      <c r="B34" s="4">
        <f>Valuation!D4</f>
        <v/>
      </c>
      <c r="C34" s="12">
        <f>Valuation!E4</f>
        <v/>
      </c>
    </row>
    <row r="35">
      <c r="A35" s="16">
        <f>Valuation!A5</f>
        <v/>
      </c>
      <c r="B35" s="4">
        <f>Valuation!D5</f>
        <v/>
      </c>
      <c r="C35" s="12">
        <f>Valuation!E5</f>
        <v/>
      </c>
    </row>
    <row r="36">
      <c r="A36" s="16">
        <f>Valuation!A6</f>
        <v/>
      </c>
      <c r="B36" s="4">
        <f>Valuation!D6</f>
        <v/>
      </c>
      <c r="C36" s="12">
        <f>Valuation!E6</f>
        <v/>
      </c>
    </row>
    <row r="38">
      <c r="A38" s="3" t="inlineStr">
        <is>
          <t>Scenario</t>
        </is>
      </c>
      <c r="B38" s="3" t="inlineStr">
        <is>
          <t>Probability</t>
        </is>
      </c>
      <c r="C38" s="3" t="inlineStr">
        <is>
          <t>Value at target date</t>
        </is>
      </c>
      <c r="D38" s="3" t="inlineStr">
        <is>
          <t>What has to happen</t>
        </is>
      </c>
    </row>
    <row r="39">
      <c r="A39" s="16">
        <f>Distribution!A4</f>
        <v/>
      </c>
      <c r="B39" s="12">
        <f>Distribution!B4</f>
        <v/>
      </c>
      <c r="C39" s="4">
        <f>Distribution!C4</f>
        <v/>
      </c>
      <c r="D39" s="17">
        <f>Distribution!D4</f>
        <v/>
      </c>
    </row>
    <row r="40">
      <c r="A40" s="16">
        <f>Distribution!A5</f>
        <v/>
      </c>
      <c r="B40" s="12">
        <f>Distribution!B5</f>
        <v/>
      </c>
      <c r="C40" s="4">
        <f>Distribution!C5</f>
        <v/>
      </c>
      <c r="D40" s="17">
        <f>Distribution!D5</f>
        <v/>
      </c>
    </row>
    <row r="41">
      <c r="A41" s="16">
        <f>Distribution!A6</f>
        <v/>
      </c>
      <c r="B41" s="12">
        <f>Distribution!B6</f>
        <v/>
      </c>
      <c r="C41" s="4">
        <f>Distribution!C6</f>
        <v/>
      </c>
      <c r="D41" s="17">
        <f>Distribution!D6</f>
        <v/>
      </c>
    </row>
    <row r="43">
      <c r="A43" s="3" t="inlineStr">
        <is>
          <t>Price at target date</t>
        </is>
      </c>
      <c r="B43" s="3" t="inlineStr">
        <is>
          <t>Probability above</t>
        </is>
      </c>
    </row>
    <row r="44">
      <c r="A44" s="9">
        <f>ROUND(Valuation!$B$67*0.7,0)</f>
        <v/>
      </c>
      <c r="B44" s="18">
        <f>SUMPRODUCT(Distribution!$B$4:$B$6,1-NORMSDIST((LN(A44)-LN(Distribution!$C$4:$C$6))/Distribution!$B$9))</f>
        <v/>
      </c>
    </row>
    <row r="45">
      <c r="A45" s="9">
        <f>ROUND(Valuation!$B$67*0.8,0)</f>
        <v/>
      </c>
      <c r="B45" s="18">
        <f>SUMPRODUCT(Distribution!$B$4:$B$6,1-NORMSDIST((LN(A45)-LN(Distribution!$C$4:$C$6))/Distribution!$B$9))</f>
        <v/>
      </c>
    </row>
    <row r="46">
      <c r="A46" s="9">
        <f>ROUND(Valuation!$B$67*0.9,0)</f>
        <v/>
      </c>
      <c r="B46" s="18">
        <f>SUMPRODUCT(Distribution!$B$4:$B$6,1-NORMSDIST((LN(A46)-LN(Distribution!$C$4:$C$6))/Distribution!$B$9))</f>
        <v/>
      </c>
    </row>
    <row r="47">
      <c r="A47" s="9">
        <f>ROUND(Valuation!$B$67*1.0,0)</f>
        <v/>
      </c>
      <c r="B47" s="18">
        <f>SUMPRODUCT(Distribution!$B$4:$B$6,1-NORMSDIST((LN(A47)-LN(Distribution!$C$4:$C$6))/Distribution!$B$9))</f>
        <v/>
      </c>
    </row>
    <row r="48">
      <c r="A48" s="9">
        <f>ROUND(Valuation!$B$67*1.1,0)</f>
        <v/>
      </c>
      <c r="B48" s="18">
        <f>SUMPRODUCT(Distribution!$B$4:$B$6,1-NORMSDIST((LN(A48)-LN(Distribution!$C$4:$C$6))/Distribution!$B$9))</f>
        <v/>
      </c>
    </row>
    <row r="49">
      <c r="A49" s="9">
        <f>ROUND(Valuation!$B$67*1.2,0)</f>
        <v/>
      </c>
      <c r="B49" s="18">
        <f>SUMPRODUCT(Distribution!$B$4:$B$6,1-NORMSDIST((LN(A49)-LN(Distribution!$C$4:$C$6))/Distribution!$B$9))</f>
        <v/>
      </c>
    </row>
    <row r="50">
      <c r="A50" s="9">
        <f>ROUND(Valuation!$B$67*1.3,0)</f>
        <v/>
      </c>
      <c r="B50" s="18">
        <f>SUMPRODUCT(Distribution!$B$4:$B$6,1-NORMSDIST((LN(A50)-LN(Distribution!$C$4:$C$6))/Distribution!$B$9))</f>
        <v/>
      </c>
    </row>
    <row r="51">
      <c r="A51" s="9">
        <f>ROUND(Valuation!$B$67*1.5,0)</f>
        <v/>
      </c>
      <c r="B51" s="18">
        <f>SUMPRODUCT(Distribution!$B$4:$B$6,1-NORMSDIST((LN(A51)-LN(Distribution!$C$4:$C$6))/Distribution!$B$9))</f>
        <v/>
      </c>
    </row>
    <row r="53">
      <c r="A53" s="3" t="inlineStr">
        <is>
          <t>Model checks</t>
        </is>
      </c>
      <c r="B53" s="3" t="inlineStr">
        <is>
          <t>Status</t>
        </is>
      </c>
    </row>
    <row r="54">
      <c r="A54" t="inlineStr">
        <is>
          <t>Scenario probabilities sum to 100%</t>
        </is>
      </c>
      <c r="B54">
        <f>IF(ABS(Distribution!B8-1)&lt;0.005,"ok","FLAG: "&amp;TEXT(Distribution!B8,"0.0%"))</f>
        <v/>
      </c>
    </row>
    <row r="55">
      <c r="A55" t="inlineStr">
        <is>
          <t>WACC exceeds terminal growth by 1 point or more</t>
        </is>
      </c>
      <c r="B55">
        <f>IF('Calc - research target (12m)'!B55="ok","ok","FLAG")</f>
        <v/>
      </c>
    </row>
    <row r="56">
      <c r="A56" t="inlineStr">
        <is>
          <t>Projection runs a full year past the target date</t>
        </is>
      </c>
      <c r="B56">
        <f>IF('Calc - research target (12m)'!B56="ok","ok","FLAG")</f>
        <v/>
      </c>
    </row>
    <row r="57">
      <c r="A57" t="inlineStr">
        <is>
          <t>Method weights add up to more than zero</t>
        </is>
      </c>
      <c r="B57">
        <f>IF(SUM(Valuation!E4:E6)&gt;0,"ok","FLAG")</f>
        <v/>
      </c>
    </row>
    <row r="58">
      <c r="A58" t="inlineStr">
        <is>
          <t>Terminal value under 85% of the DCF</t>
        </is>
      </c>
      <c r="B58">
        <f>IF('Calc - research target (12m)'!B46&lt;0.85,"ok","note: "&amp;TEXT('Calc - research target (12m)'!B46,"0%")&amp;" of the DCF is terminal value")</f>
        <v/>
      </c>
    </row>
    <row r="59">
      <c r="A59" t="inlineStr">
        <is>
          <t>Segment base revenues tie to the last reported net sales (within 2%)</t>
        </is>
      </c>
      <c r="B59">
        <f>IF(ABS(Valuation!$B$90/Valuation!$B$50-1)&lt;=0.02,"ok","FLAG")</f>
        <v/>
      </c>
    </row>
    <row r="60">
      <c r="A60" t="inlineStr">
        <is>
          <t>Matches the engine run at publication (target, research target (12m))</t>
        </is>
      </c>
      <c r="B60">
        <f>IF(AND(ABS(Distribution!$B$13-218.6091)&lt;0.01,ABS(Valuation!$D$7-223.0035)&lt;0.01),"ok","inputs edited since publication")</f>
        <v/>
      </c>
    </row>
    <row r="61">
      <c r="A61" s="19" t="inlineStr">
        <is>
          <t>All checks</t>
        </is>
      </c>
      <c r="B61" s="19">
        <f>IF(COUNTIF(B54:B60,"ok")=7,"all ok",7-COUNTIF(B54:B60,"ok")&amp;" to look at")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60" customWidth="1" min="8" max="8"/>
  </cols>
  <sheetData>
    <row r="1">
      <c r="A1" s="1" t="inlineStr">
        <is>
          <t>CRDO: annual model, base case</t>
        </is>
      </c>
    </row>
    <row r="2">
      <c r="A2" s="2" t="inlineStr">
        <is>
          <t>(M of US dollars except per share; fiscal years named by the calendar year they end in)</t>
        </is>
      </c>
    </row>
    <row r="3">
      <c r="A3" s="2" t="inlineStr">
        <is>
          <t>Blue = input · black = formula · green = link to another tab · actuals from SEC filings (fact ids in the last column, links on Sources)</t>
        </is>
      </c>
    </row>
    <row r="5">
      <c r="A5" s="3" t="inlineStr">
        <is>
          <t>Fiscal year</t>
        </is>
      </c>
      <c r="B5" s="3" t="inlineStr">
        <is>
          <t>FY2024A</t>
        </is>
      </c>
      <c r="C5" s="3" t="inlineStr">
        <is>
          <t>FY2025A</t>
        </is>
      </c>
      <c r="D5" s="3" t="inlineStr">
        <is>
          <t>FY2026A</t>
        </is>
      </c>
      <c r="E5" s="3" t="inlineStr">
        <is>
          <t>FY2027E</t>
        </is>
      </c>
      <c r="F5" s="3" t="inlineStr">
        <is>
          <t>FY2028E</t>
        </is>
      </c>
      <c r="G5" s="3" t="inlineStr">
        <is>
          <t>FY2029E</t>
        </is>
      </c>
      <c r="H5" s="3" t="inlineStr">
        <is>
          <t>Source / note</t>
        </is>
      </c>
    </row>
    <row r="6">
      <c r="A6" t="inlineStr">
        <is>
          <t>Period end</t>
        </is>
      </c>
      <c r="B6" s="20" t="n">
        <v>45409</v>
      </c>
      <c r="C6" s="20" t="n">
        <v>45780</v>
      </c>
      <c r="D6" s="20" t="n">
        <v>46144</v>
      </c>
      <c r="E6" s="20">
        <f>IF(DAY(Valuation!$B$49+1)=1,EOMONTH(Valuation!$B$49,12*E7),EDATE(Valuation!$B$49,12*E7))</f>
        <v/>
      </c>
      <c r="F6" s="20">
        <f>IF(DAY(Valuation!$B$49+1)=1,EOMONTH(Valuation!$B$49,12*F7),EDATE(Valuation!$B$49,12*F7))</f>
        <v/>
      </c>
      <c r="G6" s="20">
        <f>IF(DAY(Valuation!$B$49+1)=1,EOMONTH(Valuation!$B$49,12*G7),EDATE(Valuation!$B$49,12*G7))</f>
        <v/>
      </c>
    </row>
    <row r="7">
      <c r="A7" t="inlineStr">
        <is>
          <t>Projection year</t>
        </is>
      </c>
      <c r="B7" t="n">
        <v>-2</v>
      </c>
      <c r="C7" t="n">
        <v>-1</v>
      </c>
      <c r="D7" t="n">
        <v>0</v>
      </c>
      <c r="E7" t="n">
        <v>1</v>
      </c>
      <c r="F7" t="n">
        <v>2</v>
      </c>
      <c r="G7" t="n">
        <v>3</v>
      </c>
    </row>
    <row r="10">
      <c r="A10" s="21" t="inlineStr">
        <is>
          <t>Segment build (blue = input: revenue growth and EBIT margin by segment and year)</t>
        </is>
      </c>
      <c r="B10" s="22" t="n"/>
      <c r="C10" s="22" t="n"/>
      <c r="D10" s="22" t="n"/>
      <c r="E10" s="22" t="n"/>
      <c r="F10" s="22" t="n"/>
      <c r="G10" s="22" t="n"/>
      <c r="H10" s="22" t="n"/>
    </row>
    <row r="11">
      <c r="A11" t="inlineStr">
        <is>
          <t>Copper (AECs, electrical ICs, IP)</t>
        </is>
      </c>
      <c r="D11" s="10">
        <f>Valuation!$B$88</f>
        <v/>
      </c>
      <c r="E11" s="23">
        <f>Valuation!$B$88*(1+E12)</f>
        <v/>
      </c>
      <c r="F11" s="23">
        <f>E11*(1+F12)</f>
        <v/>
      </c>
      <c r="G11" s="23">
        <f>F11*(1+G12)</f>
        <v/>
      </c>
    </row>
    <row r="12">
      <c r="A12" s="11" t="inlineStr">
        <is>
          <t xml:space="preserve">  Revenue growth</t>
        </is>
      </c>
      <c r="E12" s="24" t="n">
        <v>0.4743854443406108</v>
      </c>
      <c r="F12" s="24" t="n">
        <v>0.4733969986357436</v>
      </c>
      <c r="G12" s="24" t="n">
        <v>0.2314814814814816</v>
      </c>
    </row>
    <row r="13">
      <c r="A13" t="inlineStr">
        <is>
          <t xml:space="preserve">  Segment EBIT</t>
        </is>
      </c>
      <c r="E13" s="23">
        <f>E11*E14</f>
        <v/>
      </c>
      <c r="F13" s="23">
        <f>F11*F14</f>
        <v/>
      </c>
      <c r="G13" s="23">
        <f>G11*G14</f>
        <v/>
      </c>
    </row>
    <row r="14">
      <c r="A14" s="11" t="inlineStr">
        <is>
          <t xml:space="preserve">  EBIT margin</t>
        </is>
      </c>
      <c r="E14" s="24" t="n">
        <v>0.5180011737199904</v>
      </c>
      <c r="F14" s="24" t="n">
        <v>0.5192489627818063</v>
      </c>
      <c r="G14" s="24" t="n">
        <v>0.5166530546693445</v>
      </c>
    </row>
    <row r="15">
      <c r="A15" t="inlineStr">
        <is>
          <t>Optical (DSPs, SiPh PICs, ZF optics, ALC)</t>
        </is>
      </c>
      <c r="D15" s="10">
        <f>Valuation!$B$89</f>
        <v/>
      </c>
      <c r="E15" s="23">
        <f>Valuation!$B$89*(1+E16)</f>
        <v/>
      </c>
      <c r="F15" s="23">
        <f>E15*(1+F16)</f>
        <v/>
      </c>
      <c r="G15" s="23">
        <f>F15*(1+G16)</f>
        <v/>
      </c>
    </row>
    <row r="16">
      <c r="A16" s="11" t="inlineStr">
        <is>
          <t xml:space="preserve">  Revenue growth</t>
        </is>
      </c>
      <c r="E16" s="24" t="n">
        <v>9.333296667033329</v>
      </c>
      <c r="F16" s="24" t="n">
        <v>0.76</v>
      </c>
      <c r="G16" s="24" t="n">
        <v>0.3060042574505384</v>
      </c>
    </row>
    <row r="17">
      <c r="A17" t="inlineStr">
        <is>
          <t xml:space="preserve">  Segment EBIT</t>
        </is>
      </c>
      <c r="E17" s="23">
        <f>E15*E18</f>
        <v/>
      </c>
      <c r="F17" s="23">
        <f>F15*F18</f>
        <v/>
      </c>
      <c r="G17" s="23">
        <f>G15*G18</f>
        <v/>
      </c>
    </row>
    <row r="18">
      <c r="A18" s="11" t="inlineStr">
        <is>
          <t xml:space="preserve">  EBIT margin</t>
        </is>
      </c>
      <c r="E18" s="24" t="n">
        <v>0.4780011737199905</v>
      </c>
      <c r="F18" s="24" t="n">
        <v>0.4642489627818063</v>
      </c>
      <c r="G18" s="24" t="n">
        <v>0.4566530546693444</v>
      </c>
    </row>
    <row r="19">
      <c r="A19" t="inlineStr">
        <is>
          <t>Total segment revenue (= net sales)</t>
        </is>
      </c>
      <c r="D19" s="25">
        <f>D11+D15</f>
        <v/>
      </c>
      <c r="E19" s="25">
        <f>E11+E15</f>
        <v/>
      </c>
      <c r="F19" s="25">
        <f>F11+F15</f>
        <v/>
      </c>
      <c r="G19" s="25">
        <f>G11+G15</f>
        <v/>
      </c>
      <c r="H19" s="2" t="inlineStr">
        <is>
          <t>base revenues on Valuation (segment build); net sales = this total</t>
        </is>
      </c>
    </row>
    <row r="20">
      <c r="A20" t="inlineStr">
        <is>
          <t>Total segment EBIT</t>
        </is>
      </c>
      <c r="E20" s="25">
        <f>E13+E17</f>
        <v/>
      </c>
      <c r="F20" s="25">
        <f>F13+F17</f>
        <v/>
      </c>
      <c r="G20" s="25">
        <f>G13+G17</f>
        <v/>
      </c>
    </row>
    <row r="21">
      <c r="A21" t="inlineStr">
        <is>
          <t>Corporate / unallocated EBIT (blue = input)</t>
        </is>
      </c>
      <c r="E21" s="26" t="n">
        <v>0</v>
      </c>
      <c r="F21" s="23">
        <f>E21</f>
        <v/>
      </c>
      <c r="G21" s="23">
        <f>F21</f>
        <v/>
      </c>
      <c r="H21" s="2" t="inlineStr">
        <is>
          <t>years[].corporate_ebit; EBIT = total segment EBIT + corporate</t>
        </is>
      </c>
    </row>
    <row r="23">
      <c r="A23" s="21" t="inlineStr">
        <is>
          <t>Sales</t>
        </is>
      </c>
      <c r="B23" s="22" t="n"/>
      <c r="C23" s="22" t="n"/>
      <c r="D23" s="22" t="n"/>
      <c r="E23" s="22" t="n"/>
      <c r="F23" s="22" t="n"/>
      <c r="G23" s="22" t="n"/>
      <c r="H23" s="22" t="n"/>
    </row>
    <row r="24">
      <c r="A24" s="19" t="inlineStr">
        <is>
          <t>Net sales</t>
        </is>
      </c>
      <c r="B24" s="23" t="n">
        <v>192.97</v>
      </c>
      <c r="C24" s="23" t="n">
        <v>436.775</v>
      </c>
      <c r="D24" s="23" t="n">
        <v>1335.116</v>
      </c>
      <c r="E24" s="25">
        <f>E19</f>
        <v/>
      </c>
      <c r="F24" s="25">
        <f>F19</f>
        <v/>
      </c>
      <c r="G24" s="25">
        <f>G19</f>
        <v/>
      </c>
      <c r="H24" s="2" t="inlineStr">
        <is>
          <t>SEC XBRL F1, F2, F3</t>
        </is>
      </c>
    </row>
    <row r="25">
      <c r="A25" s="11" t="inlineStr">
        <is>
          <t xml:space="preserve">  % YoY</t>
        </is>
      </c>
      <c r="C25" s="27">
        <f>IF(OR(C24="",B24="",B24=0),"",C24/B24-1)</f>
        <v/>
      </c>
      <c r="D25" s="27">
        <f>IF(OR(D24="",C24="",C24=0),"",D24/C24-1)</f>
        <v/>
      </c>
      <c r="E25" s="27">
        <f>E24/Valuation!$B$50-1</f>
        <v/>
      </c>
      <c r="F25" s="27">
        <f>F24/E24-1</f>
        <v/>
      </c>
      <c r="G25" s="27">
        <f>G24/F24-1</f>
        <v/>
      </c>
    </row>
    <row r="27">
      <c r="A27" s="21" t="inlineStr">
        <is>
          <t>Operating profit</t>
        </is>
      </c>
      <c r="B27" s="22" t="n"/>
      <c r="C27" s="22" t="n"/>
      <c r="D27" s="22" t="n"/>
      <c r="E27" s="22" t="n"/>
      <c r="F27" s="22" t="n"/>
      <c r="G27" s="22" t="n"/>
      <c r="H27" s="22" t="n"/>
    </row>
    <row r="28">
      <c r="A28" t="inlineStr">
        <is>
          <t>EBIT (operating income)</t>
        </is>
      </c>
      <c r="E28" s="23">
        <f>E20+E21</f>
        <v/>
      </c>
      <c r="F28" s="23">
        <f>F20+F21</f>
        <v/>
      </c>
      <c r="G28" s="23">
        <f>G20+G21</f>
        <v/>
      </c>
    </row>
    <row r="29">
      <c r="A29" s="11" t="inlineStr">
        <is>
          <t xml:space="preserve">  EBIT margin</t>
        </is>
      </c>
      <c r="E29" s="27">
        <f>E28/E24</f>
        <v/>
      </c>
      <c r="F29" s="27">
        <f>F28/F24</f>
        <v/>
      </c>
      <c r="G29" s="27">
        <f>G28/G24</f>
        <v/>
      </c>
    </row>
    <row r="30">
      <c r="A30" t="inlineStr">
        <is>
          <t>D&amp;A</t>
        </is>
      </c>
      <c r="B30" s="23" t="n">
        <v>13.771</v>
      </c>
      <c r="C30" s="23" t="n">
        <v>21.938</v>
      </c>
      <c r="D30" s="23" t="n">
        <v>34.637</v>
      </c>
      <c r="E30" s="23">
        <f>E24*E64</f>
        <v/>
      </c>
      <c r="F30" s="23">
        <f>F24*F64</f>
        <v/>
      </c>
      <c r="G30" s="23">
        <f>G24*G64</f>
        <v/>
      </c>
      <c r="H30" s="2" t="inlineStr">
        <is>
          <t>SEC XBRL F34, F35, F36</t>
        </is>
      </c>
    </row>
    <row r="31">
      <c r="A31" t="inlineStr">
        <is>
          <t>EBITDA</t>
        </is>
      </c>
      <c r="E31" s="23">
        <f>E28+E30</f>
        <v/>
      </c>
      <c r="F31" s="23">
        <f>F28+F30</f>
        <v/>
      </c>
      <c r="G31" s="23">
        <f>G28+G30</f>
        <v/>
      </c>
    </row>
    <row r="32">
      <c r="A32" s="11" t="inlineStr">
        <is>
          <t xml:space="preserve">  EBITDA margin</t>
        </is>
      </c>
      <c r="E32" s="27">
        <f>E31/E24</f>
        <v/>
      </c>
      <c r="F32" s="27">
        <f>F31/F24</f>
        <v/>
      </c>
      <c r="G32" s="27">
        <f>G31/G24</f>
        <v/>
      </c>
    </row>
    <row r="33">
      <c r="A33" t="inlineStr">
        <is>
          <t>Net interest income / (expense)</t>
        </is>
      </c>
      <c r="E33" s="23">
        <f>-Valuation!$B$58*Valuation!$B$56</f>
        <v/>
      </c>
      <c r="F33" s="23">
        <f>-Valuation!$B$58*E58</f>
        <v/>
      </c>
      <c r="G33" s="23">
        <f>-Valuation!$B$58*F58</f>
        <v/>
      </c>
      <c r="H33" s="2" t="inlineStr">
        <is>
          <t>rate x prior year-end net debt (memo roll)</t>
        </is>
      </c>
    </row>
    <row r="34">
      <c r="A34" s="19" t="inlineStr">
        <is>
          <t>Pretax income</t>
        </is>
      </c>
      <c r="B34" s="23" t="n">
        <v>-22.745</v>
      </c>
      <c r="C34" s="23" t="n">
        <v>54.87</v>
      </c>
      <c r="D34" s="23" t="n">
        <v>475.435</v>
      </c>
      <c r="E34" s="25">
        <f>E28+E33</f>
        <v/>
      </c>
      <c r="F34" s="25">
        <f>F28+F33</f>
        <v/>
      </c>
      <c r="G34" s="25">
        <f>G28+G33</f>
        <v/>
      </c>
      <c r="H34" s="2" t="inlineStr">
        <is>
          <t>SEC XBRL F69, F70, F71</t>
        </is>
      </c>
    </row>
    <row r="35">
      <c r="A35" s="11" t="inlineStr">
        <is>
          <t xml:space="preserve">  Pretax margin</t>
        </is>
      </c>
      <c r="B35" s="27">
        <f>B34/B24</f>
        <v/>
      </c>
      <c r="C35" s="27">
        <f>C34/C24</f>
        <v/>
      </c>
      <c r="D35" s="27">
        <f>D34/D24</f>
        <v/>
      </c>
      <c r="E35" s="27">
        <f>E34/E24</f>
        <v/>
      </c>
      <c r="F35" s="27">
        <f>F34/F24</f>
        <v/>
      </c>
      <c r="G35" s="27">
        <f>G34/G24</f>
        <v/>
      </c>
    </row>
    <row r="36">
      <c r="A36" t="inlineStr">
        <is>
          <t>Income tax</t>
        </is>
      </c>
      <c r="B36" s="23" t="n">
        <v>5.624</v>
      </c>
      <c r="C36" s="23" t="n">
        <v>2.687</v>
      </c>
      <c r="D36" s="23" t="n">
        <v>3.156</v>
      </c>
      <c r="E36" s="23">
        <f>E34*E63</f>
        <v/>
      </c>
      <c r="F36" s="23">
        <f>F34*F63</f>
        <v/>
      </c>
      <c r="G36" s="23">
        <f>G34*G63</f>
        <v/>
      </c>
      <c r="H36" s="2" t="inlineStr">
        <is>
          <t>SEC XBRL F62, F63, F64</t>
        </is>
      </c>
    </row>
    <row r="37">
      <c r="A37" s="11" t="inlineStr">
        <is>
          <t xml:space="preserve">  Effective tax rate</t>
        </is>
      </c>
      <c r="B37" s="27">
        <f>B36/B34</f>
        <v/>
      </c>
      <c r="C37" s="27">
        <f>C36/C34</f>
        <v/>
      </c>
      <c r="D37" s="27">
        <f>D36/D34</f>
        <v/>
      </c>
      <c r="E37" s="27">
        <f>E36/E34</f>
        <v/>
      </c>
      <c r="F37" s="27">
        <f>F36/F34</f>
        <v/>
      </c>
      <c r="G37" s="27">
        <f>G36/G34</f>
        <v/>
      </c>
    </row>
    <row r="38">
      <c r="A38" s="19" t="inlineStr">
        <is>
          <t>Net income</t>
        </is>
      </c>
      <c r="B38" s="23" t="n">
        <v>-28.369</v>
      </c>
      <c r="C38" s="23" t="n">
        <v>52.183</v>
      </c>
      <c r="D38" s="23" t="n">
        <v>472.279</v>
      </c>
      <c r="E38" s="25">
        <f>E34-E36</f>
        <v/>
      </c>
      <c r="F38" s="25">
        <f>F34-F36</f>
        <v/>
      </c>
      <c r="G38" s="25">
        <f>G34-G36</f>
        <v/>
      </c>
      <c r="H38" s="2" t="inlineStr">
        <is>
          <t>SEC XBRL F15, F16, F17</t>
        </is>
      </c>
    </row>
    <row r="39">
      <c r="A39" s="11" t="inlineStr">
        <is>
          <t xml:space="preserve">  % YoY</t>
        </is>
      </c>
      <c r="C39" s="27">
        <f>IF(OR(C38="",B38="",B38=0),"",C38/B38-1)</f>
        <v/>
      </c>
      <c r="D39" s="27">
        <f>IF(OR(D38="",C38="",C38=0),"",D38/C38-1)</f>
        <v/>
      </c>
      <c r="E39" s="27">
        <f>IF(OR(D38="",D38=0),"",E38/D38-1)</f>
        <v/>
      </c>
      <c r="F39" s="27">
        <f>IF(OR(E38="",E38=0),"",F38/E38-1)</f>
        <v/>
      </c>
      <c r="G39" s="27">
        <f>IF(OR(F38="",F38=0),"",G38/F38-1)</f>
        <v/>
      </c>
    </row>
    <row r="40">
      <c r="A40" t="inlineStr">
        <is>
          <t>Diluted shares (M, average)</t>
        </is>
      </c>
      <c r="B40" s="23" t="n">
        <v>155.091</v>
      </c>
      <c r="C40" s="23" t="n">
        <v>181.158</v>
      </c>
      <c r="D40" s="23" t="n">
        <v>188.232</v>
      </c>
      <c r="E40" s="28">
        <f>Valuation!$B$60*(1+Valuation!$B$62)^(E7-0.5-((Valuation!$B$61-Valuation!$B$49)/365.25))</f>
        <v/>
      </c>
      <c r="F40" s="28">
        <f>Valuation!$B$60*(1+Valuation!$B$62)^(F7-0.5-((Valuation!$B$61-Valuation!$B$49)/365.25))</f>
        <v/>
      </c>
      <c r="G40" s="28">
        <f>Valuation!$B$60*(1+Valuation!$B$62)^(G7-0.5-((Valuation!$B$61-Valuation!$B$49)/365.25))</f>
        <v/>
      </c>
      <c r="H40" s="2" t="inlineStr">
        <is>
          <t>diluted count rolled at the annual change to mid-year</t>
        </is>
      </c>
    </row>
    <row r="41">
      <c r="A41" s="11" t="inlineStr">
        <is>
          <t xml:space="preserve">  % YoY</t>
        </is>
      </c>
      <c r="C41" s="27">
        <f>IF(OR(C40="",B40="",B40=0),"",C40/B40-1)</f>
        <v/>
      </c>
      <c r="D41" s="27">
        <f>IF(OR(D40="",C40="",C40=0),"",D40/C40-1)</f>
        <v/>
      </c>
      <c r="E41" s="27">
        <f>IF(OR(D40="",D40=0),"",E40/D40-1)</f>
        <v/>
      </c>
      <c r="F41" s="27">
        <f>IF(OR(E40="",E40=0),"",F40/E40-1)</f>
        <v/>
      </c>
      <c r="G41" s="27">
        <f>IF(OR(F40="",F40=0),"",G40/F40-1)</f>
        <v/>
      </c>
    </row>
    <row r="42">
      <c r="A42" s="19" t="inlineStr">
        <is>
          <t>Diluted EPS</t>
        </is>
      </c>
      <c r="B42" s="29" t="n">
        <v>-0.18</v>
      </c>
      <c r="C42" s="29" t="n">
        <v>0.29</v>
      </c>
      <c r="D42" s="29" t="n">
        <v>2.51</v>
      </c>
      <c r="E42" s="30">
        <f>E38/E40</f>
        <v/>
      </c>
      <c r="F42" s="30">
        <f>F38/F40</f>
        <v/>
      </c>
      <c r="G42" s="30">
        <f>G38/G40</f>
        <v/>
      </c>
      <c r="H42" s="2" t="inlineStr">
        <is>
          <t>SEC XBRL F22, F23, F24</t>
        </is>
      </c>
    </row>
    <row r="43">
      <c r="A43" s="11" t="inlineStr">
        <is>
          <t xml:space="preserve">  % YoY</t>
        </is>
      </c>
      <c r="C43" s="27">
        <f>IF(OR(C42="",B42="",B42=0),"",C42/B42-1)</f>
        <v/>
      </c>
      <c r="D43" s="27">
        <f>IF(OR(D42="",C42="",C42=0),"",D42/C42-1)</f>
        <v/>
      </c>
      <c r="E43" s="27">
        <f>IF(OR(D42="",D42=0),"",E42/D42-1)</f>
        <v/>
      </c>
      <c r="F43" s="27">
        <f>IF(OR(E42="",E42=0),"",F42/E42-1)</f>
        <v/>
      </c>
      <c r="G43" s="27">
        <f>IF(OR(F42="",F42=0),"",G42/F42-1)</f>
        <v/>
      </c>
    </row>
    <row r="45">
      <c r="A45" s="21" t="inlineStr">
        <is>
          <t>Cash flow</t>
        </is>
      </c>
      <c r="B45" s="22" t="n"/>
      <c r="C45" s="22" t="n"/>
      <c r="D45" s="22" t="n"/>
      <c r="E45" s="22" t="n"/>
      <c r="F45" s="22" t="n"/>
      <c r="G45" s="22" t="n"/>
      <c r="H45" s="22" t="n"/>
    </row>
    <row r="46">
      <c r="A46" t="inlineStr">
        <is>
          <t>NOPAT (EBIT x (1 - tax))</t>
        </is>
      </c>
      <c r="E46" s="23">
        <f>E28*(1-E63)</f>
        <v/>
      </c>
      <c r="F46" s="23">
        <f>F28*(1-F63)</f>
        <v/>
      </c>
      <c r="G46" s="23">
        <f>G28*(1-G63)</f>
        <v/>
      </c>
    </row>
    <row r="47">
      <c r="A47" t="inlineStr">
        <is>
          <t>+ D&amp;A</t>
        </is>
      </c>
      <c r="B47" s="23">
        <f>B30</f>
        <v/>
      </c>
      <c r="C47" s="23">
        <f>C30</f>
        <v/>
      </c>
      <c r="D47" s="23">
        <f>D30</f>
        <v/>
      </c>
      <c r="E47" s="23">
        <f>E30</f>
        <v/>
      </c>
      <c r="F47" s="23">
        <f>F30</f>
        <v/>
      </c>
      <c r="G47" s="23">
        <f>G30</f>
        <v/>
      </c>
    </row>
    <row r="48">
      <c r="A48" t="inlineStr">
        <is>
          <t>- Capex</t>
        </is>
      </c>
      <c r="B48" s="23" t="n">
        <v>15.652</v>
      </c>
      <c r="C48" s="23" t="n">
        <v>36.061</v>
      </c>
      <c r="D48" s="23" t="n">
        <v>57.296</v>
      </c>
      <c r="E48" s="23">
        <f>E24*E65</f>
        <v/>
      </c>
      <c r="F48" s="23">
        <f>F24*F65</f>
        <v/>
      </c>
      <c r="G48" s="23">
        <f>G24*G65</f>
        <v/>
      </c>
      <c r="H48" s="2" t="inlineStr">
        <is>
          <t>SEC XBRL F55, F56, F57</t>
        </is>
      </c>
    </row>
    <row r="49">
      <c r="A49" s="11" t="inlineStr">
        <is>
          <t xml:space="preserve">  Capex % of sales</t>
        </is>
      </c>
      <c r="B49" s="27">
        <f>B48/B24</f>
        <v/>
      </c>
      <c r="C49" s="27">
        <f>C48/C24</f>
        <v/>
      </c>
      <c r="D49" s="27">
        <f>D48/D24</f>
        <v/>
      </c>
      <c r="E49" s="27">
        <f>E48/E24</f>
        <v/>
      </c>
      <c r="F49" s="27">
        <f>F48/F24</f>
        <v/>
      </c>
      <c r="G49" s="27">
        <f>G48/G24</f>
        <v/>
      </c>
    </row>
    <row r="50">
      <c r="A50" t="inlineStr">
        <is>
          <t>- Working capital increase</t>
        </is>
      </c>
      <c r="E50" s="23">
        <f>E66*(E24-Valuation!$B$50)</f>
        <v/>
      </c>
      <c r="F50" s="23">
        <f>F66*(F24-E24)</f>
        <v/>
      </c>
      <c r="G50" s="23">
        <f>G66*(G24-F24)</f>
        <v/>
      </c>
    </row>
    <row r="51">
      <c r="A51" t="inlineStr">
        <is>
          <t>- Stock comp (adjusted EBIT only)</t>
        </is>
      </c>
      <c r="E51" s="23">
        <f>IF(AND(Valuation!$B$47="adjusted",Valuation!$B$48="cost"),E55*(1-E63),0)</f>
        <v/>
      </c>
      <c r="F51" s="23">
        <f>IF(AND(Valuation!$B$47="adjusted",Valuation!$B$48="cost"),F55*(1-F63),0)</f>
        <v/>
      </c>
      <c r="G51" s="23">
        <f>IF(AND(Valuation!$B$47="adjusted",Valuation!$B$48="cost"),G55*(1-G63),0)</f>
        <v/>
      </c>
    </row>
    <row r="52">
      <c r="A52" s="19" t="inlineStr">
        <is>
          <t>Free cash flow to firm</t>
        </is>
      </c>
      <c r="E52" s="25">
        <f>E46+E47-E48-E50-E51</f>
        <v/>
      </c>
      <c r="F52" s="25">
        <f>F46+F47-F48-F50-F51</f>
        <v/>
      </c>
      <c r="G52" s="25">
        <f>G46+G47-G48-G50-G51</f>
        <v/>
      </c>
      <c r="H52" s="2" t="inlineStr">
        <is>
          <t>what the DCF discounts (Calc tabs)</t>
        </is>
      </c>
    </row>
    <row r="53">
      <c r="A53" t="inlineStr">
        <is>
          <t>Operating cash flow (reported)</t>
        </is>
      </c>
      <c r="B53" s="23" t="n">
        <v>32.737</v>
      </c>
      <c r="C53" s="23" t="n">
        <v>65.083</v>
      </c>
      <c r="D53" s="23" t="n">
        <v>464.292</v>
      </c>
      <c r="H53" s="2" t="inlineStr">
        <is>
          <t>SEC XBRL F48, F49, F50</t>
        </is>
      </c>
    </row>
    <row r="54">
      <c r="A54" t="inlineStr">
        <is>
          <t>FCF (operating cash flow - capex)</t>
        </is>
      </c>
      <c r="B54" s="23">
        <f>B53-B48</f>
        <v/>
      </c>
      <c r="C54" s="23">
        <f>C53-C48</f>
        <v/>
      </c>
      <c r="D54" s="23">
        <f>D53-D48</f>
        <v/>
      </c>
    </row>
    <row r="55">
      <c r="A55" t="inlineStr">
        <is>
          <t>Stock comp (memo)</t>
        </is>
      </c>
      <c r="B55" s="23" t="n">
        <v>39.022</v>
      </c>
      <c r="C55" s="23" t="n">
        <v>77.355</v>
      </c>
      <c r="D55" s="23" t="n">
        <v>182.638</v>
      </c>
      <c r="E55" s="23">
        <f>E24*E67</f>
        <v/>
      </c>
      <c r="F55" s="23">
        <f>F24*F67</f>
        <v/>
      </c>
      <c r="G55" s="23">
        <f>G24*G67</f>
        <v/>
      </c>
      <c r="H55" s="2" t="inlineStr">
        <is>
          <t>SEC XBRL F41, F42, F43</t>
        </is>
      </c>
    </row>
    <row r="56">
      <c r="A56" t="inlineStr">
        <is>
          <t>Buybacks + dividends + other uses</t>
        </is>
      </c>
      <c r="E56" s="23">
        <f>E24*E69+E68+E70</f>
        <v/>
      </c>
      <c r="F56" s="23">
        <f>F24*F69+F68+F70</f>
        <v/>
      </c>
      <c r="G56" s="23">
        <f>G24*G69+G68+G70</f>
        <v/>
      </c>
    </row>
    <row r="57">
      <c r="A57" s="11" t="inlineStr">
        <is>
          <t xml:space="preserve">  % of sales</t>
        </is>
      </c>
      <c r="B57" s="27">
        <f>B56/B24</f>
        <v/>
      </c>
      <c r="C57" s="27">
        <f>C56/C24</f>
        <v/>
      </c>
      <c r="D57" s="27">
        <f>D56/D24</f>
        <v/>
      </c>
      <c r="E57" s="27">
        <f>E56/E24</f>
        <v/>
      </c>
      <c r="F57" s="27">
        <f>F56/F24</f>
        <v/>
      </c>
      <c r="G57" s="27">
        <f>G56/G24</f>
        <v/>
      </c>
    </row>
    <row r="58">
      <c r="A58" t="inlineStr">
        <is>
          <t>Net debt / (net cash), year end (memo)</t>
        </is>
      </c>
      <c r="E58" s="23">
        <f>Valuation!$B$56-E52-E33*(1-E63)+E56</f>
        <v/>
      </c>
      <c r="F58" s="23">
        <f>E58-F52-F33*(1-F63)+F56</f>
        <v/>
      </c>
      <c r="G58" s="23">
        <f>F58-G52-G33*(1-G63)+G56</f>
        <v/>
      </c>
      <c r="H58" s="2" t="inlineStr">
        <is>
          <t>rolled from the balance-date figure; feeds interest only</t>
        </is>
      </c>
    </row>
    <row r="60">
      <c r="A60" s="21" t="inlineStr">
        <is>
          <t>Drivers (blue = input; a year left black carries the prior year)</t>
        </is>
      </c>
      <c r="B60" s="22" t="n"/>
      <c r="C60" s="22" t="n"/>
      <c r="D60" s="22" t="n"/>
      <c r="E60" s="22" t="n"/>
      <c r="F60" s="22" t="n"/>
      <c r="G60" s="22" t="n"/>
      <c r="H60" s="22" t="n"/>
    </row>
    <row r="61">
      <c r="A61" t="inlineStr">
        <is>
          <t>Revenue growth</t>
        </is>
      </c>
      <c r="C61" s="18">
        <f>C25</f>
        <v/>
      </c>
      <c r="D61" s="18">
        <f>D25</f>
        <v/>
      </c>
      <c r="E61" s="24">
        <f>E25</f>
        <v/>
      </c>
      <c r="F61" s="18">
        <f>F25</f>
        <v/>
      </c>
      <c r="G61" s="18">
        <f>G25</f>
        <v/>
      </c>
      <c r="H61" s="2" t="inlineStr">
        <is>
          <t>implied by the segment build (edit the segment rows)</t>
        </is>
      </c>
    </row>
    <row r="62">
      <c r="A62" t="inlineStr">
        <is>
          <t>EBIT margin</t>
        </is>
      </c>
      <c r="E62" s="24">
        <f>E29</f>
        <v/>
      </c>
      <c r="F62" s="18">
        <f>F29</f>
        <v/>
      </c>
      <c r="G62" s="18">
        <f>G29</f>
        <v/>
      </c>
      <c r="H62" s="2" t="inlineStr">
        <is>
          <t>implied by the segment build and corporate EBIT</t>
        </is>
      </c>
    </row>
    <row r="63">
      <c r="A63" t="inlineStr">
        <is>
          <t>Tax rate</t>
        </is>
      </c>
      <c r="B63" s="18">
        <f>B37</f>
        <v/>
      </c>
      <c r="C63" s="18">
        <f>C37</f>
        <v/>
      </c>
      <c r="D63" s="18">
        <f>D37</f>
        <v/>
      </c>
      <c r="E63" s="24" t="n">
        <v>0.01</v>
      </c>
      <c r="F63" s="24" t="n">
        <v>0.15</v>
      </c>
      <c r="G63" s="24" t="n">
        <v>0.15</v>
      </c>
    </row>
    <row r="64">
      <c r="A64" t="inlineStr">
        <is>
          <t>D&amp;A % revenue</t>
        </is>
      </c>
      <c r="B64" s="18">
        <f>B30/B24</f>
        <v/>
      </c>
      <c r="C64" s="18">
        <f>C30/C24</f>
        <v/>
      </c>
      <c r="D64" s="18">
        <f>D30/D24</f>
        <v/>
      </c>
      <c r="E64" s="24" t="n">
        <v>0.025</v>
      </c>
      <c r="F64" s="18">
        <f>E64</f>
        <v/>
      </c>
      <c r="G64" s="18">
        <f>F64</f>
        <v/>
      </c>
    </row>
    <row r="65">
      <c r="A65" t="inlineStr">
        <is>
          <t>Capex % revenue</t>
        </is>
      </c>
      <c r="B65" s="18">
        <f>B49</f>
        <v/>
      </c>
      <c r="C65" s="18">
        <f>C49</f>
        <v/>
      </c>
      <c r="D65" s="18">
        <f>D49</f>
        <v/>
      </c>
      <c r="E65" s="24" t="n">
        <v>0.04</v>
      </c>
      <c r="F65" s="18">
        <f>E65</f>
        <v/>
      </c>
      <c r="G65" s="18">
        <f>F65</f>
        <v/>
      </c>
    </row>
    <row r="66">
      <c r="A66" t="inlineStr">
        <is>
          <t>Working capital % of revenue increase</t>
        </is>
      </c>
      <c r="E66" s="24" t="n">
        <v>0.25</v>
      </c>
      <c r="F66" s="18">
        <f>E66</f>
        <v/>
      </c>
      <c r="G66" s="18">
        <f>F66</f>
        <v/>
      </c>
    </row>
    <row r="67">
      <c r="A67" t="inlineStr">
        <is>
          <t>Stock comp % revenue</t>
        </is>
      </c>
      <c r="B67" s="18">
        <f>B55/B24</f>
        <v/>
      </c>
      <c r="C67" s="18">
        <f>C55/C24</f>
        <v/>
      </c>
      <c r="D67" s="18">
        <f>D55/D24</f>
        <v/>
      </c>
      <c r="E67" s="24" t="n">
        <v>0.14</v>
      </c>
      <c r="F67" s="18">
        <f>E67</f>
        <v/>
      </c>
      <c r="G67" s="18">
        <f>F67</f>
        <v/>
      </c>
    </row>
    <row r="68">
      <c r="A68" t="inlineStr">
        <is>
          <t>Shareholder returns ($)</t>
        </is>
      </c>
      <c r="E68" s="26" t="n">
        <v>0</v>
      </c>
      <c r="F68" s="23">
        <f>E68</f>
        <v/>
      </c>
      <c r="G68" s="23">
        <f>F68</f>
        <v/>
      </c>
    </row>
    <row r="69">
      <c r="A69" t="inlineStr">
        <is>
          <t>Shareholder returns % revenue</t>
        </is>
      </c>
      <c r="B69" s="18">
        <f>B57</f>
        <v/>
      </c>
      <c r="C69" s="18">
        <f>C57</f>
        <v/>
      </c>
      <c r="D69" s="18">
        <f>D57</f>
        <v/>
      </c>
      <c r="E69" s="24" t="n">
        <v>0</v>
      </c>
      <c r="F69" s="18">
        <f>E69</f>
        <v/>
      </c>
      <c r="G69" s="18">
        <f>F69</f>
        <v/>
      </c>
    </row>
    <row r="70">
      <c r="A70" t="inlineStr">
        <is>
          <t>Other uses of cash ($: M&amp;A, investments)</t>
        </is>
      </c>
      <c r="E70" s="26" t="n">
        <v>102.4</v>
      </c>
      <c r="F70" s="26" t="n">
        <v>0</v>
      </c>
      <c r="G70" s="23">
        <f>F70</f>
        <v/>
      </c>
    </row>
    <row r="71">
      <c r="A71" t="inlineStr">
        <is>
          <t>Adj. EBITDA addback % revenue</t>
        </is>
      </c>
      <c r="E71" s="24" t="n">
        <v>0</v>
      </c>
      <c r="F71" s="18">
        <f>E71</f>
        <v/>
      </c>
      <c r="G71" s="18">
        <f>F71</f>
        <v/>
      </c>
    </row>
    <row r="73">
      <c r="A73" s="21" t="inlineStr">
        <is>
          <t>Versus company guidance and street consensus</t>
        </is>
      </c>
      <c r="B73" s="22" t="n"/>
      <c r="C73" s="22" t="n"/>
      <c r="D73" s="22" t="n"/>
      <c r="E73" s="22" t="n"/>
      <c r="F73" s="22" t="n"/>
      <c r="G73" s="22" t="n"/>
      <c r="H73" s="22" t="n"/>
    </row>
    <row r="74">
      <c r="A74" t="inlineStr">
        <is>
          <t>Guidance: revenue growth (GAAP revenue y/y), midpoint</t>
        </is>
      </c>
      <c r="E74" s="31" t="n">
        <v>0.85</v>
      </c>
      <c r="H74" s="2" t="inlineStr">
        <is>
          <t>as of 2026-09-01; source 22 (Credo (CRDO) Q1 FY2027 earnings call transcript (Motley Fool)</t>
        </is>
      </c>
    </row>
    <row r="75">
      <c r="A75" s="11" t="inlineStr">
        <is>
          <t xml:space="preserve">  Model vs guidance midpoint</t>
        </is>
      </c>
      <c r="E75" s="32">
        <f>(E25-E74)*10000</f>
        <v/>
      </c>
    </row>
    <row r="76">
      <c r="A76" t="inlineStr">
        <is>
          <t>Guidance: optical revenue ($M), midpoint</t>
        </is>
      </c>
      <c r="E76" s="33" t="n">
        <v>600</v>
      </c>
      <c r="H76" s="2" t="inlineStr">
        <is>
          <t>as of 2026-09-01; source 22 (Credo (CRDO) Q1 FY2027 earnings call transcript (Motley Fool)</t>
        </is>
      </c>
    </row>
    <row r="77">
      <c r="A77" t="inlineStr">
        <is>
          <t>Guidance: non-GAAP operating expense growth (non-GAAP), midpoint</t>
        </is>
      </c>
      <c r="E77" s="33">
        <f>AVERAGE(0.55,0.55)</f>
        <v/>
      </c>
      <c r="H77" s="2" t="inlineStr">
        <is>
          <t>0.55 to 0.55; as of 2026-09-01; source 22 (Credo (CRDO) Q1 FY2027 earnings call transcript (Motley Fool)</t>
        </is>
      </c>
    </row>
    <row r="78">
      <c r="A78" t="inlineStr">
        <is>
          <t>Guidance: non-GAAP net margin (non-GAAP), midpoint</t>
        </is>
      </c>
      <c r="E78" s="33">
        <f>AVERAGE(0.5,0.5)</f>
        <v/>
      </c>
      <c r="H78" s="2" t="inlineStr">
        <is>
          <t>0.5 to 0.5; as of 2026-09-01; source 22 (Credo (CRDO) Q1 FY2027 earnings call transcript (Motley Fool)</t>
        </is>
      </c>
    </row>
    <row r="79">
      <c r="A79" t="inlineStr">
        <is>
          <t>Consensus: revenue (consensus)</t>
        </is>
      </c>
      <c r="E79" s="34" t="n">
        <v>2500</v>
      </c>
      <c r="H79" s="2" t="inlineStr">
        <is>
          <t>as of 2026-10-26; source 3 (CRDO Stock Forecast &amp; Price Targets - StockAnalysis (S&amp;P Glo)</t>
        </is>
      </c>
    </row>
    <row r="80">
      <c r="A80" s="11" t="inlineStr">
        <is>
          <t xml:space="preserve">  Model vs consensus</t>
        </is>
      </c>
      <c r="E80" s="27">
        <f>E24/E79-1</f>
        <v/>
      </c>
    </row>
    <row r="81">
      <c r="A81" t="inlineStr">
        <is>
          <t>Consensus: EPS non-GAAP (consensus)</t>
        </is>
      </c>
      <c r="E81" s="15" t="n">
        <v>6.31</v>
      </c>
      <c r="H81" s="2" t="inlineStr">
        <is>
          <t>as of 2026-10-26; source 3 (CRDO Stock Forecast &amp; Price Targets - StockAnalysis (S&amp;P Glo)</t>
        </is>
      </c>
    </row>
    <row r="82">
      <c r="A82" t="inlineStr">
        <is>
          <t>Consensus: revenue (consensus)</t>
        </is>
      </c>
      <c r="F82" s="34" t="n">
        <v>3880</v>
      </c>
      <c r="H82" s="2" t="inlineStr">
        <is>
          <t>as of 2026-10-26; source 3 (CRDO Stock Forecast &amp; Price Targets - StockAnalysis (S&amp;P Glo)</t>
        </is>
      </c>
    </row>
    <row r="83">
      <c r="A83" s="11" t="inlineStr">
        <is>
          <t xml:space="preserve">  Model vs consensus</t>
        </is>
      </c>
      <c r="F83" s="27">
        <f>F24/F82-1</f>
        <v/>
      </c>
    </row>
    <row r="84">
      <c r="A84" t="inlineStr">
        <is>
          <t>Consensus: EPS non-GAAP (consensus)</t>
        </is>
      </c>
      <c r="F84" s="15" t="n">
        <v>9.699999999999999</v>
      </c>
      <c r="H84" s="2" t="inlineStr">
        <is>
          <t>as of 2026-09-21; source 1 (Credo Technology Crashed for 3 Months: This Wall Street Pro )</t>
        </is>
      </c>
    </row>
    <row r="85">
      <c r="A85" t="inlineStr">
        <is>
          <t>Consensus: EPS (Zacks) (consensus)</t>
        </is>
      </c>
      <c r="E85" s="15" t="n">
        <v>5.02</v>
      </c>
      <c r="H85" s="2" t="inlineStr">
        <is>
          <t>as of 2026-10-26; source 28 (Nasdaq.com analyst earnings forecast for CRDO (Zacks consens)</t>
        </is>
      </c>
    </row>
    <row r="86">
      <c r="A86" t="inlineStr">
        <is>
          <t>Consensus: EPS (Zacks) (consensus)</t>
        </is>
      </c>
      <c r="F86" s="15" t="n">
        <v>8.300000000000001</v>
      </c>
      <c r="H86" s="2" t="inlineStr">
        <is>
          <t>as of 2026-10-26; source 28 (Nasdaq.com analyst earnings forecast for CRDO (Zacks consens)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60" customWidth="1" min="10" max="10"/>
    <col width="13" customWidth="1" min="11" max="11"/>
  </cols>
  <sheetData>
    <row r="1">
      <c r="A1" s="1" t="inlineStr">
        <is>
          <t>CRDO: valuation and price target derivation</t>
        </is>
      </c>
    </row>
    <row r="2">
      <c r="A2" s="2" t="inlineStr">
        <is>
          <t>Value per share at the target date = weighted methods below; the 12-month target is the median of the scenario mix (Distribution tab).</t>
        </is>
      </c>
    </row>
    <row r="3">
      <c r="A3" s="3" t="inlineStr">
        <is>
          <t>Method</t>
        </is>
      </c>
      <c r="B3" s="3" t="inlineStr">
        <is>
          <t>Multiple</t>
        </is>
      </c>
      <c r="C3" s="3" t="inlineStr">
        <is>
          <t>Metric at target date</t>
        </is>
      </c>
      <c r="D3" s="3" t="inlineStr">
        <is>
          <t>Value per share</t>
        </is>
      </c>
      <c r="E3" s="3" t="inlineStr">
        <is>
          <t>Weight</t>
        </is>
      </c>
      <c r="F3" s="3" t="inlineStr">
        <is>
          <t>Contribution</t>
        </is>
      </c>
    </row>
    <row r="4">
      <c r="A4" s="16">
        <f>'Calc - research target (12m)'!A67</f>
        <v/>
      </c>
      <c r="B4" s="4">
        <f>IF('Calc - research target (12m)'!C67="","",'Calc - research target (12m)'!C67)</f>
        <v/>
      </c>
      <c r="C4" s="35">
        <f>IF('Calc - research target (12m)'!I67="","",'Calc - research target (12m)'!I67)</f>
        <v/>
      </c>
      <c r="D4" s="4">
        <f>'Calc - research target (12m)'!F67</f>
        <v/>
      </c>
      <c r="E4" s="12">
        <f>'Calc - research target (12m)'!G67</f>
        <v/>
      </c>
      <c r="F4" s="9">
        <f>D4*E4/SUM($E$4:$E$6)</f>
        <v/>
      </c>
    </row>
    <row r="5">
      <c r="A5" s="16">
        <f>'Calc - research target (12m)'!A68</f>
        <v/>
      </c>
      <c r="B5" s="4">
        <f>IF('Calc - research target (12m)'!C68="","",'Calc - research target (12m)'!C68)</f>
        <v/>
      </c>
      <c r="C5" s="35">
        <f>IF('Calc - research target (12m)'!I68="","",'Calc - research target (12m)'!I68)</f>
        <v/>
      </c>
      <c r="D5" s="4">
        <f>'Calc - research target (12m)'!F68</f>
        <v/>
      </c>
      <c r="E5" s="12">
        <f>'Calc - research target (12m)'!G68</f>
        <v/>
      </c>
      <c r="F5" s="9">
        <f>D5*E5/SUM($E$4:$E$6)</f>
        <v/>
      </c>
    </row>
    <row r="6">
      <c r="A6" s="16">
        <f>'Calc - research target (12m)'!A69</f>
        <v/>
      </c>
      <c r="B6" s="4">
        <f>IF('Calc - research target (12m)'!C69="","",'Calc - research target (12m)'!C69)</f>
        <v/>
      </c>
      <c r="C6" s="35">
        <f>IF('Calc - research target (12m)'!I69="","",'Calc - research target (12m)'!I69)</f>
        <v/>
      </c>
      <c r="D6" s="4">
        <f>'Calc - research target (12m)'!F69</f>
        <v/>
      </c>
      <c r="E6" s="12">
        <f>'Calc - research target (12m)'!G69</f>
        <v/>
      </c>
      <c r="F6" s="9">
        <f>D6*E6/SUM($E$4:$E$6)</f>
        <v/>
      </c>
    </row>
    <row r="7">
      <c r="A7" s="19" t="inlineStr">
        <is>
          <t>Research target (12m) per share</t>
        </is>
      </c>
      <c r="D7" s="6">
        <f>'Calc - research target (12m)'!$F$70</f>
        <v/>
      </c>
      <c r="F7" s="6">
        <f>SUM(F4:F6)</f>
        <v/>
      </c>
    </row>
    <row r="9">
      <c r="A9" s="21" t="inlineStr">
        <is>
          <t>12-month EPS basis (what the P/E is applied to)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</row>
    <row r="10">
      <c r="A10" s="3" t="inlineStr">
        <is>
          <t>Fiscal year</t>
        </is>
      </c>
      <c r="B10" s="3">
        <f>Model!E5</f>
        <v/>
      </c>
      <c r="C10" s="3">
        <f>Model!F5</f>
        <v/>
      </c>
      <c r="D10" s="3">
        <f>Model!G5</f>
        <v/>
      </c>
    </row>
    <row r="11">
      <c r="A11" t="inlineStr">
        <is>
          <t>Share of the 12 months after the target date</t>
        </is>
      </c>
      <c r="B11" s="12">
        <f>'Calc - research target (12m)'!C38</f>
        <v/>
      </c>
      <c r="C11" s="12">
        <f>'Calc - research target (12m)'!D38</f>
        <v/>
      </c>
      <c r="D11" s="12">
        <f>'Calc - research target (12m)'!E38</f>
        <v/>
      </c>
    </row>
    <row r="12">
      <c r="A12" t="inlineStr">
        <is>
          <t>Model EPS (Model tab)</t>
        </is>
      </c>
      <c r="B12" s="13">
        <f>Model!E42</f>
        <v/>
      </c>
      <c r="C12" s="13">
        <f>Model!F42</f>
        <v/>
      </c>
      <c r="D12" s="13">
        <f>Model!G42</f>
        <v/>
      </c>
    </row>
    <row r="13">
      <c r="A13" t="inlineStr">
        <is>
          <t>Model EPS, next 12 months after the target date</t>
        </is>
      </c>
      <c r="B13" s="30">
        <f>SUMPRODUCT(B11:D11,B12:D12)</f>
        <v/>
      </c>
    </row>
    <row r="16">
      <c r="A16" s="21" t="inlineStr">
        <is>
          <t>DCF build (free cash flow to firm, discounted to the target date)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</row>
    <row r="17">
      <c r="A17" s="3" t="inlineStr">
        <is>
          <t>Fiscal year</t>
        </is>
      </c>
      <c r="B17" s="3">
        <f>Model!E5</f>
        <v/>
      </c>
      <c r="C17" s="3">
        <f>Model!F5</f>
        <v/>
      </c>
      <c r="D17" s="3">
        <f>Model!G5</f>
        <v/>
      </c>
    </row>
    <row r="18">
      <c r="A18" t="inlineStr">
        <is>
          <t>Free cash flow to firm</t>
        </is>
      </c>
      <c r="B18" s="10">
        <f>'Calc - research target (12m)'!C31</f>
        <v/>
      </c>
      <c r="C18" s="10">
        <f>'Calc - research target (12m)'!D31</f>
        <v/>
      </c>
      <c r="D18" s="10">
        <f>'Calc - research target (12m)'!E31</f>
        <v/>
      </c>
    </row>
    <row r="19">
      <c r="A19" t="inlineStr">
        <is>
          <t>Share of the year after the target date</t>
        </is>
      </c>
      <c r="B19" s="12">
        <f>'Calc - research target (12m)'!C35</f>
        <v/>
      </c>
      <c r="C19" s="12">
        <f>'Calc - research target (12m)'!D35</f>
        <v/>
      </c>
      <c r="D19" s="12">
        <f>'Calc - research target (12m)'!E35</f>
        <v/>
      </c>
    </row>
    <row r="20">
      <c r="A20" t="inlineStr">
        <is>
          <t>PV at target date</t>
        </is>
      </c>
      <c r="B20" s="10">
        <f>'Calc - research target (12m)'!C36</f>
        <v/>
      </c>
      <c r="C20" s="10">
        <f>'Calc - research target (12m)'!D36</f>
        <v/>
      </c>
      <c r="D20" s="10">
        <f>'Calc - research target (12m)'!E36</f>
        <v/>
      </c>
    </row>
    <row r="22">
      <c r="A22" t="inlineStr">
        <is>
          <t>PV of free cash flow after the target date</t>
        </is>
      </c>
      <c r="B22" s="10">
        <f>'Calc - research target (12m)'!B42</f>
        <v/>
      </c>
    </row>
    <row r="23">
      <c r="A23" t="inlineStr">
        <is>
          <t>Terminal value (final year)</t>
        </is>
      </c>
      <c r="B23" s="10">
        <f>'Calc - research target (12m)'!B43</f>
        <v/>
      </c>
    </row>
    <row r="24">
      <c r="A24" t="inlineStr">
        <is>
          <t>PV of terminal value</t>
        </is>
      </c>
      <c r="B24" s="10">
        <f>'Calc - research target (12m)'!B44</f>
        <v/>
      </c>
    </row>
    <row r="25">
      <c r="A25" t="inlineStr">
        <is>
          <t>Enterprise value at target date</t>
        </is>
      </c>
      <c r="B25" s="10">
        <f>'Calc - research target (12m)'!B45</f>
        <v/>
      </c>
    </row>
    <row r="26">
      <c r="A26" t="inlineStr">
        <is>
          <t>Terminal value share of DCF</t>
        </is>
      </c>
      <c r="B26" s="12">
        <f>'Calc - research target (12m)'!B46</f>
        <v/>
      </c>
    </row>
    <row r="27">
      <c r="A27" t="inlineStr">
        <is>
          <t>Net debt at target date</t>
        </is>
      </c>
      <c r="B27" s="10">
        <f>'Calc - research target (12m)'!B50</f>
        <v/>
      </c>
    </row>
    <row r="28">
      <c r="A28" t="inlineStr">
        <is>
          <t>Minority interests</t>
        </is>
      </c>
      <c r="B28" s="10">
        <f>'Calc - research target (12m)'!B51</f>
        <v/>
      </c>
    </row>
    <row r="29">
      <c r="A29" t="inlineStr">
        <is>
          <t>Adjustments</t>
        </is>
      </c>
      <c r="B29" s="10">
        <f>'Calc - research target (12m)'!B52</f>
        <v/>
      </c>
    </row>
    <row r="30">
      <c r="A30" t="inlineStr">
        <is>
          <t>Diluted shares at target date (M)</t>
        </is>
      </c>
      <c r="B30" s="36">
        <f>'Calc - research target (12m)'!B53</f>
        <v/>
      </c>
    </row>
    <row r="31">
      <c r="A31" t="inlineStr">
        <is>
          <t>DCF value per share</t>
        </is>
      </c>
      <c r="B31" s="4">
        <f>'Calc - research target (12m)'!F67</f>
        <v/>
      </c>
    </row>
    <row r="32">
      <c r="A32" t="inlineStr">
        <is>
          <t>WACC</t>
        </is>
      </c>
      <c r="B32" s="12">
        <f>'Calc - research target (12m)'!B12</f>
        <v/>
      </c>
    </row>
    <row r="42">
      <c r="A42" s="21" t="inlineStr">
        <is>
          <t>Assumptions (blue = input; sources on the Sources tab)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</row>
    <row r="43">
      <c r="A43" s="3" t="inlineStr">
        <is>
          <t>Input</t>
        </is>
      </c>
      <c r="B43" s="3" t="inlineStr">
        <is>
          <t>Value</t>
        </is>
      </c>
      <c r="C43" s="3" t="inlineStr">
        <is>
          <t>Basis / note</t>
        </is>
      </c>
    </row>
    <row r="44">
      <c r="A44" t="inlineStr">
        <is>
          <t>Run date (valuation as of)</t>
        </is>
      </c>
      <c r="B44" s="37" t="n">
        <v>46321</v>
      </c>
      <c r="C44" t="inlineStr"/>
    </row>
    <row r="45">
      <c r="A45" t="inlineStr">
        <is>
          <t>Target date (run date + 365 days)</t>
        </is>
      </c>
      <c r="B45" s="20">
        <f>B44+365</f>
        <v/>
      </c>
      <c r="C45" t="inlineStr">
        <is>
          <t>12-month horizon</t>
        </is>
      </c>
    </row>
    <row r="46">
      <c r="A46" t="inlineStr">
        <is>
          <t>Money unit</t>
        </is>
      </c>
      <c r="B46" s="38" t="inlineStr">
        <is>
          <t>$M</t>
        </is>
      </c>
      <c r="C46" t="inlineStr"/>
    </row>
    <row r="47">
      <c r="A47" t="inlineStr">
        <is>
          <t>EBIT basis (gaap / adjusted)</t>
        </is>
      </c>
      <c r="B47" s="38" t="inlineStr">
        <is>
          <t>adjusted</t>
        </is>
      </c>
      <c r="C47" t="inlineStr">
        <is>
          <t>gaap = after stock comp</t>
        </is>
      </c>
    </row>
    <row r="48">
      <c r="A48" t="inlineStr">
        <is>
          <t>Stock comp treatment (cost / dilution)</t>
        </is>
      </c>
      <c r="B48" s="38" t="inlineStr">
        <is>
          <t>dilution</t>
        </is>
      </c>
      <c r="C48" t="inlineStr">
        <is>
          <t>used only when EBIT is adjusted</t>
        </is>
      </c>
    </row>
    <row r="49">
      <c r="A49" t="inlineStr">
        <is>
          <t>Last reported fiscal year end</t>
        </is>
      </c>
      <c r="B49" s="37" t="n">
        <v>46144</v>
      </c>
      <c r="C49" t="inlineStr"/>
    </row>
    <row r="50">
      <c r="A50" t="inlineStr">
        <is>
          <t>Net sales, last reported year ($M)</t>
        </is>
      </c>
      <c r="B50" s="26" t="n">
        <v>1335.116</v>
      </c>
      <c r="C50" t="inlineStr"/>
    </row>
    <row r="51">
      <c r="A51" t="inlineStr">
        <is>
          <t>WACC</t>
        </is>
      </c>
      <c r="B51" s="24" t="n">
        <v>0.1</v>
      </c>
      <c r="C51" t="inlineStr">
        <is>
          <t>not used: no DCF leg (Kilian 2026-10-21); a placeholder so the DCF block still computes</t>
        </is>
      </c>
    </row>
    <row r="52">
      <c r="A52" t="inlineStr">
        <is>
          <t>Terminal method (gordon / exit_multiple / steady_state)</t>
        </is>
      </c>
      <c r="B52" s="38" t="inlineStr">
        <is>
          <t>gordon</t>
        </is>
      </c>
      <c r="C52" t="inlineStr"/>
    </row>
    <row r="53">
      <c r="A53" t="inlineStr">
        <is>
          <t>Terminal growth</t>
        </is>
      </c>
      <c r="B53" s="24" t="n">
        <v>0.02</v>
      </c>
      <c r="C53" t="inlineStr"/>
    </row>
    <row r="54">
      <c r="A54" t="inlineStr">
        <is>
          <t>Exit EV/EBITDA (exit_multiple only)</t>
        </is>
      </c>
      <c r="B54" s="39" t="n"/>
      <c r="C54" t="inlineStr"/>
    </row>
    <row r="55">
      <c r="A55" t="inlineStr">
        <is>
          <t>Balance-sheet date</t>
        </is>
      </c>
      <c r="B55" s="37" t="n">
        <v>46235</v>
      </c>
      <c r="C55" t="inlineStr"/>
    </row>
    <row r="56">
      <c r="A56" t="inlineStr">
        <is>
          <t>Net debt / (net cash) at balance date ($M)</t>
        </is>
      </c>
      <c r="B56" s="26" t="n">
        <v>-764.3</v>
      </c>
      <c r="C56" t="inlineStr">
        <is>
          <t>excludes operating leases</t>
        </is>
      </c>
    </row>
    <row r="57">
      <c r="A57" t="inlineStr">
        <is>
          <t>Minority interests + preferred stock</t>
        </is>
      </c>
      <c r="B57" s="26" t="n">
        <v>0</v>
      </c>
      <c r="C57" t="inlineStr"/>
    </row>
    <row r="58">
      <c r="A58" t="inlineStr">
        <is>
          <t>Interest rate on net debt / cash</t>
        </is>
      </c>
      <c r="B58" s="24" t="n">
        <v>0.04</v>
      </c>
      <c r="C58" t="inlineStr"/>
    </row>
    <row r="59">
      <c r="A59" t="inlineStr">
        <is>
          <t>Net debt at target date (override; blank = bridge)</t>
        </is>
      </c>
      <c r="B59" s="26" t="n"/>
      <c r="C59" t="inlineStr"/>
    </row>
    <row r="60">
      <c r="A60" t="inlineStr">
        <is>
          <t>Diluted shares (M)</t>
        </is>
      </c>
      <c r="B60" s="40" t="n">
        <v>200</v>
      </c>
      <c r="C60" t="inlineStr"/>
    </row>
    <row r="61">
      <c r="A61" t="inlineStr">
        <is>
          <t>Share count date</t>
        </is>
      </c>
      <c r="B61" s="37" t="n">
        <v>46326</v>
      </c>
      <c r="C61" t="inlineStr"/>
    </row>
    <row r="62">
      <c r="A62" t="inlineStr">
        <is>
          <t>Annual change in diluted shares</t>
        </is>
      </c>
      <c r="B62" s="24" t="n">
        <v>0.015</v>
      </c>
      <c r="C62" t="inlineStr">
        <is>
          <t>net of buybacks and stock-comp dilution</t>
        </is>
      </c>
    </row>
    <row r="63">
      <c r="A63" t="inlineStr">
        <is>
          <t>Shares at target date (override; blank = from annual change)</t>
        </is>
      </c>
      <c r="B63" s="40" t="n"/>
      <c r="C63" t="inlineStr"/>
    </row>
    <row r="64">
      <c r="A64" t="inlineStr">
        <is>
          <t>DCF weight</t>
        </is>
      </c>
      <c r="B64" s="24" t="n">
        <v>0</v>
      </c>
      <c r="C64" t="inlineStr">
        <is>
          <t>Kilian 2026-10-21: 0 unless the name has a DCF leg (dcf_policy)</t>
        </is>
      </c>
    </row>
    <row r="65">
      <c r="A65" t="inlineStr">
        <is>
          <t>Sum-of-the-parts weight</t>
        </is>
      </c>
      <c r="B65" s="24" t="n">
        <v>0</v>
      </c>
      <c r="C65" t="inlineStr"/>
    </row>
    <row r="66">
      <c r="A66" t="inlineStr">
        <is>
          <t>Spread within each scenario (lognormal vol)</t>
        </is>
      </c>
      <c r="B66" s="24" t="n">
        <v>0.25</v>
      </c>
      <c r="C66" t="inlineStr"/>
    </row>
    <row r="67">
      <c r="A67" t="inlineStr">
        <is>
          <t>Share price at the run</t>
        </is>
      </c>
      <c r="B67" s="41" t="n">
        <v>151.15</v>
      </c>
      <c r="C67" t="inlineStr">
        <is>
          <t>close used by the run (2026-10-26)</t>
        </is>
      </c>
    </row>
    <row r="69">
      <c r="A69" s="3" t="inlineStr">
        <is>
          <t>Target multiple</t>
        </is>
      </c>
      <c r="B69" s="3" t="inlineStr">
        <is>
          <t>Multiple</t>
        </is>
      </c>
      <c r="C69" s="3" t="inlineStr">
        <is>
          <t>Weight</t>
        </is>
      </c>
      <c r="D69" s="3" t="inlineStr">
        <is>
          <t>Basis (ntm / ltm)</t>
        </is>
      </c>
      <c r="E69" s="3" t="inlineStr">
        <is>
          <t>EBITDA basis</t>
        </is>
      </c>
      <c r="F69" s="3" t="inlineStr">
        <is>
          <t>Stated EPS</t>
        </is>
      </c>
      <c r="G69" s="3" t="inlineStr">
        <is>
          <t>Stated FCF/share</t>
        </is>
      </c>
      <c r="H69" s="3" t="inlineStr">
        <is>
          <t>Levered</t>
        </is>
      </c>
      <c r="I69" s="3" t="inlineStr">
        <is>
          <t>Peer basis</t>
        </is>
      </c>
    </row>
    <row r="70">
      <c r="A70" s="38" t="inlineStr">
        <is>
          <t>P/E</t>
        </is>
      </c>
      <c r="B70" s="39" t="n">
        <v>23.5</v>
      </c>
      <c r="C70" s="24" t="n">
        <v>0.7</v>
      </c>
      <c r="D70" s="38" t="inlineStr">
        <is>
          <t>ntm</t>
        </is>
      </c>
      <c r="E70" s="38" t="inlineStr">
        <is>
          <t>gaap</t>
        </is>
      </c>
      <c r="F70" s="42" t="n"/>
      <c r="G70" s="42" t="n"/>
      <c r="H70" s="38" t="b">
        <v>1</v>
      </c>
      <c r="I70" t="inlineStr">
        <is>
          <t>Agents' median 23.5x (21-24x) NTM; 32% below the 34.5x median P/E NTM of 11 filing-based peers (peers.md: ALAB 70.9, MRVL 50.3, ANET 40.7, LITE 38.2, MTSI 36.7, CIEN 34.5, RMBS 32.8 thin, AAOI 31.7 thin, COHR 24.1, AVGO 20.5, FN 18.0; 36.7x without the two thin-coverage names). Discount for a 43%-of-revenue direct customer, 84% top-4 concentration, Marvell 1.6T AEC competition and growth slowing to ~30% after FY28. EPS = model NOPAT (non-GAAP EBIT after tax, 15% minimum tax from FY28) / shares, driver-linked.</t>
        </is>
      </c>
    </row>
    <row r="71">
      <c r="A71" s="38" t="inlineStr">
        <is>
          <t>EV/sales</t>
        </is>
      </c>
      <c r="B71" s="39" t="n">
        <v>11</v>
      </c>
      <c r="C71" s="24" t="n">
        <v>0.3</v>
      </c>
      <c r="D71" s="38" t="inlineStr">
        <is>
          <t>ntm</t>
        </is>
      </c>
      <c r="E71" s="38" t="inlineStr">
        <is>
          <t>gaap</t>
        </is>
      </c>
      <c r="F71" s="42" t="n"/>
      <c r="G71" s="42" t="n"/>
      <c r="H71" s="38" t="b">
        <v>1</v>
      </c>
      <c r="I71" t="inlineStr">
        <is>
          <t>Agents' median 11x (9-11.5x) NTM sales. Cross-check only: peers.py has no NTM revenue consensus for the peers (EPS-only snapshots), so no peer median on this basis; flagged.</t>
        </is>
      </c>
    </row>
    <row r="73">
      <c r="A73" s="3" t="inlineStr">
        <is>
          <t>Segment (sum of the parts)</t>
        </is>
      </c>
      <c r="B73" s="3" t="inlineStr">
        <is>
          <t>NTM metric</t>
        </is>
      </c>
      <c r="C73" s="3" t="inlineStr">
        <is>
          <t>Metric</t>
        </is>
      </c>
      <c r="D73" s="3" t="inlineStr">
        <is>
          <t>Multiple</t>
        </is>
      </c>
      <c r="E73" s="3" t="inlineStr">
        <is>
          <t>Note</t>
        </is>
      </c>
    </row>
    <row r="74">
      <c r="A74" s="11" t="inlineStr">
        <is>
          <t>none</t>
        </is>
      </c>
    </row>
    <row r="76">
      <c r="A76" s="3" t="inlineStr">
        <is>
          <t>Adjustment (equity level)</t>
        </is>
      </c>
      <c r="B76" s="3" t="inlineStr">
        <is>
          <t>Value</t>
        </is>
      </c>
      <c r="C76" s="3" t="inlineStr">
        <is>
          <t>Probability</t>
        </is>
      </c>
      <c r="D76" s="3" t="inlineStr">
        <is>
          <t>Note</t>
        </is>
      </c>
    </row>
    <row r="77">
      <c r="A77" s="11" t="inlineStr">
        <is>
          <t>none</t>
        </is>
      </c>
    </row>
    <row r="79">
      <c r="A79" s="3" t="inlineStr">
        <is>
          <t>Custom method</t>
        </is>
      </c>
      <c r="B79" s="3" t="inlineStr">
        <is>
          <t>Value per share</t>
        </is>
      </c>
      <c r="C79" s="3" t="inlineStr">
        <is>
          <t>Weight</t>
        </is>
      </c>
      <c r="D79" s="3" t="inlineStr">
        <is>
          <t>Explanation</t>
        </is>
      </c>
    </row>
    <row r="80">
      <c r="A80" s="11" t="inlineStr">
        <is>
          <t>none</t>
        </is>
      </c>
    </row>
    <row r="82">
      <c r="A82" s="3" t="inlineStr">
        <is>
          <t>Scenario</t>
        </is>
      </c>
      <c r="B82" s="3" t="inlineStr">
        <is>
          <t>Probability</t>
        </is>
      </c>
      <c r="C82" s="3" t="inlineStr">
        <is>
          <t>Growth Δ</t>
        </is>
      </c>
      <c r="D82" s="3" t="inlineStr">
        <is>
          <t>Margin Δ</t>
        </is>
      </c>
      <c r="E82" s="3" t="inlineStr">
        <is>
          <t>Multiple Δ (turns)</t>
        </is>
      </c>
      <c r="F82" s="3" t="inlineStr">
        <is>
          <t>WACC Δ</t>
        </is>
      </c>
      <c r="G82" s="3" t="inlineStr">
        <is>
          <t>Multiple %Δ (FCF yield, segments)</t>
        </is>
      </c>
      <c r="H82" s="3" t="inlineStr">
        <is>
          <t>Stated EPS/FCF %Δ</t>
        </is>
      </c>
      <c r="I82" s="3" t="inlineStr">
        <is>
          <t>Custom methods %Δ</t>
        </is>
      </c>
      <c r="J82" s="3" t="inlineStr">
        <is>
          <t>Story</t>
        </is>
      </c>
    </row>
    <row r="83">
      <c r="A83" t="inlineStr">
        <is>
          <t>bear</t>
        </is>
      </c>
      <c r="B83" s="24" t="n">
        <v>0.25</v>
      </c>
      <c r="C83" s="24" t="n"/>
      <c r="D83" s="24" t="n"/>
      <c r="E83" s="43" t="n">
        <v>-8</v>
      </c>
      <c r="F83" s="24" t="n"/>
      <c r="G83" s="24" t="n"/>
      <c r="H83" s="24" t="n"/>
      <c r="I83" s="24" t="n"/>
      <c r="J83" s="44" t="inlineStr">
        <is>
          <t>Agents 1-5 bear (probabilities 0.25-0.33, median 0.25; values $100-120, median $110): the top end customer (33%; likely Amazon Trainium, the 43% direct customer) dual-sources 1.6T AECs to Marvell at 15-20% lower prices and/or hyperscalers digest 2027 capex; the H2 FY27 ramp slips. Restated as drivers: top_customer_pct 0.33 -&gt; 0.21 (add -0.12: that customer's revenue -46%, total -15.2%, the rest unchanged), copper_tam and optical_tam -10% (capex digestion), gm_copper and gm_optical -3pt (agent_2: 62-64%); P/E -8 turns to 15.5x (agents 14-18x).</t>
        </is>
      </c>
      <c r="K83" s="44" t="inlineStr">
        <is>
          <t>driver deltas: top_customer_pct -0.12; copper_tam -0.1 %; optical_tam -0.1 %; gm_copper -0.03; gm_optical -0.03</t>
        </is>
      </c>
    </row>
    <row r="84">
      <c r="A84" t="inlineStr">
        <is>
          <t>base</t>
        </is>
      </c>
      <c r="B84" s="24" t="n">
        <v>0.5</v>
      </c>
      <c r="C84" s="24" t="n"/>
      <c r="D84" s="24" t="n"/>
      <c r="E84" s="43" t="n"/>
      <c r="F84" s="24" t="n"/>
      <c r="G84" s="24" t="n"/>
      <c r="H84" s="24" t="n"/>
      <c r="I84" s="24" t="n"/>
      <c r="J84" s="44" t="inlineStr">
        <is>
          <t>Copper = Big-4 capex x 0.60% attach x Credo share (42.7%, held FY28-29); optical = LightCounting AI-cluster optics ($36.3B / $63.9B / $83.4B) x 1.708%; top customer held at 33%. Revenue $2,500M / $3,861M / $4,836M (optical $620M / $1,091M / $1,425M); blended GM 68.0% / 66.9% / 66.2%; opex $430M / $640M / $790M; 15% minimum tax from FY28; 23.5x NTM EPS / 11x NTM sales.</t>
        </is>
      </c>
    </row>
    <row r="85">
      <c r="A85" t="inlineStr">
        <is>
          <t>bull</t>
        </is>
      </c>
      <c r="B85" s="24" t="n">
        <v>0.25</v>
      </c>
      <c r="C85" s="24" t="n"/>
      <c r="D85" s="24" t="n"/>
      <c r="E85" s="43" t="n">
        <v>3.5</v>
      </c>
      <c r="F85" s="24" t="n"/>
      <c r="G85" s="24" t="n"/>
      <c r="H85" s="24" t="n"/>
      <c r="I85" s="24" t="n"/>
      <c r="J85" s="44" t="inlineStr">
        <is>
          <t>Agents 1-5 bull (probabilities 0.22-0.25; values $345-380): Amazon Trn3 ramps strongly, Microsoft/Meta/Oracle and neoclouds broaden the base (3-4 customers &gt;10%), optics pass a $1B run-rate, ALC/OmniConnect start; hyperscaler 2027 capex ~$1.2-1.3T. Restated: optical_share +15% (FY28 optical ~$1.4B), copper_share +5% (Credo holds 1.6T share), top_customer_pct +0.02 (Trn3: that customer +10%, total +3.1%), copper_tam and optical_tam +10%, gm +0.5pt both; P/E +3.5 turns to 27x.</t>
        </is>
      </c>
      <c r="K85" s="44" t="inlineStr">
        <is>
          <t>driver deltas: top_customer_pct +0.02; copper_tam +0.1 %; optical_tam +0.1 %; copper_share +0.05 %; optical_share +0.15 %; gm_copper +0.005; gm_optical +0.005</t>
        </is>
      </c>
    </row>
    <row r="87">
      <c r="A87" s="3" t="inlineStr">
        <is>
          <t>Segment build (segment_build)</t>
        </is>
      </c>
      <c r="B87" s="3" t="inlineStr">
        <is>
          <t>Base revenue ($M)</t>
        </is>
      </c>
      <c r="C87" s="3" t="inlineStr">
        <is>
          <t>Driver note (growth and EBIT margin by year: Model tab)</t>
        </is>
      </c>
    </row>
    <row r="88">
      <c r="A88" t="inlineStr">
        <is>
          <t>Copper (AECs, electrical ICs, IP)</t>
        </is>
      </c>
      <c r="B88" s="26" t="n">
        <v>1275.116</v>
      </c>
      <c r="C88" t="inlineStr">
        <is>
          <t>revenue = copper_tam ($B) x copper_share x 1000 x 0.67 / (1 - top_customer_pct); EBIT = revenue x gm_copper - opex x copper share of driven revenue</t>
        </is>
      </c>
    </row>
    <row r="89">
      <c r="A89" t="inlineStr">
        <is>
          <t>Optical (DSPs, SiPh PICs, ZF optics, ALC)</t>
        </is>
      </c>
      <c r="B89" s="26" t="n">
        <v>60</v>
      </c>
      <c r="C89" t="inlineStr">
        <is>
          <t>revenue = optical_tam ($B) x optical_share x 1000 x 0.67 / (1 - top_customer_pct); EBIT = revenue x gm_optical - opex x optical share of driven revenue</t>
        </is>
      </c>
    </row>
    <row r="90">
      <c r="A90" s="19" t="inlineStr">
        <is>
          <t>Sum of segment base revenues</t>
        </is>
      </c>
      <c r="B90" s="25">
        <f>SUM(B88:B89)</f>
        <v/>
      </c>
      <c r="C90">
        <f>IF(ABS(B90/Valuation!$B$50-1)&lt;=0.02,"ties to the last reported net sales (within 2%)","FLAG: does not tie to the last reported net sales")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CRDO: sensitivity tables (bold = current inputs; every cell recalculates from the live model)</t>
        </is>
      </c>
    </row>
    <row r="3">
      <c r="A3" s="19" t="inlineStr">
        <is>
          <t>DCF value per share: WACC (down) x terminal growth (across)</t>
        </is>
      </c>
    </row>
    <row r="4">
      <c r="A4" s="19" t="inlineStr">
        <is>
          <t>WACC \ growth</t>
        </is>
      </c>
      <c r="B4" s="7">
        <f>Valuation!$B$53+(-0.01)</f>
        <v/>
      </c>
      <c r="C4" s="7">
        <f>Valuation!$B$53+(-0.005)</f>
        <v/>
      </c>
      <c r="D4" s="7">
        <f>Valuation!$B$53+(0)</f>
        <v/>
      </c>
      <c r="E4" s="7">
        <f>Valuation!$B$53+(0.005)</f>
        <v/>
      </c>
      <c r="F4" s="7">
        <f>Valuation!$B$53+(0.01)</f>
        <v/>
      </c>
    </row>
    <row r="5">
      <c r="A5" s="7">
        <f>Valuation!$B$51+(-0.01)</f>
        <v/>
      </c>
      <c r="B5" s="9">
        <f>IF($A5-B$4&lt;=0.01,"n/a",((SUMPRODUCT('Calc - research target (12m)'!$C$31:$E$31,'Calc - research target (12m)'!$C$35:$E$35,(1+$A5)^(-('Calc - research target (12m)'!$C$19:$E$19-'Calc - research target (12m)'!$B$13)))+'Calc - research target (12m)'!$E$31*(1+B$4)/($A5-B$4)/(1+$A5)^('Calc - research target (12m)'!$B$16-'Calc - research target (12m)'!$B$13))-'Calc - research target (12m)'!$B$50-'Calc - research target (12m)'!$B$51+'Calc - research target (12m)'!$B$52)/'Calc - research target (12m)'!$B$53)</f>
        <v/>
      </c>
      <c r="C5" s="9">
        <f>IF($A5-C$4&lt;=0.01,"n/a",((SUMPRODUCT('Calc - research target (12m)'!$C$31:$E$31,'Calc - research target (12m)'!$C$35:$E$35,(1+$A5)^(-('Calc - research target (12m)'!$C$19:$E$19-'Calc - research target (12m)'!$B$13)))+'Calc - research target (12m)'!$E$31*(1+C$4)/($A5-C$4)/(1+$A5)^('Calc - research target (12m)'!$B$16-'Calc - research target (12m)'!$B$13))-'Calc - research target (12m)'!$B$50-'Calc - research target (12m)'!$B$51+'Calc - research target (12m)'!$B$52)/'Calc - research target (12m)'!$B$53)</f>
        <v/>
      </c>
      <c r="D5" s="9">
        <f>IF($A5-D$4&lt;=0.01,"n/a",((SUMPRODUCT('Calc - research target (12m)'!$C$31:$E$31,'Calc - research target (12m)'!$C$35:$E$35,(1+$A5)^(-('Calc - research target (12m)'!$C$19:$E$19-'Calc - research target (12m)'!$B$13)))+'Calc - research target (12m)'!$E$31*(1+D$4)/($A5-D$4)/(1+$A5)^('Calc - research target (12m)'!$B$16-'Calc - research target (12m)'!$B$13))-'Calc - research target (12m)'!$B$50-'Calc - research target (12m)'!$B$51+'Calc - research target (12m)'!$B$52)/'Calc - research target (12m)'!$B$53)</f>
        <v/>
      </c>
      <c r="E5" s="9">
        <f>IF($A5-E$4&lt;=0.01,"n/a",((SUMPRODUCT('Calc - research target (12m)'!$C$31:$E$31,'Calc - research target (12m)'!$C$35:$E$35,(1+$A5)^(-('Calc - research target (12m)'!$C$19:$E$19-'Calc - research target (12m)'!$B$13)))+'Calc - research target (12m)'!$E$31*(1+E$4)/($A5-E$4)/(1+$A5)^('Calc - research target (12m)'!$B$16-'Calc - research target (12m)'!$B$13))-'Calc - research target (12m)'!$B$50-'Calc - research target (12m)'!$B$51+'Calc - research target (12m)'!$B$52)/'Calc - research target (12m)'!$B$53)</f>
        <v/>
      </c>
      <c r="F5" s="9">
        <f>IF($A5-F$4&lt;=0.01,"n/a",((SUMPRODUCT('Calc - research target (12m)'!$C$31:$E$31,'Calc - research target (12m)'!$C$35:$E$35,(1+$A5)^(-('Calc - research target (12m)'!$C$19:$E$19-'Calc - research target (12m)'!$B$13)))+'Calc - research target (12m)'!$E$31*(1+F$4)/($A5-F$4)/(1+$A5)^('Calc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6">
      <c r="A6" s="7">
        <f>Valuation!$B$51+(-0.005)</f>
        <v/>
      </c>
      <c r="B6" s="9">
        <f>IF($A6-B$4&lt;=0.01,"n/a",((SUMPRODUCT('Calc - research target (12m)'!$C$31:$E$31,'Calc - research target (12m)'!$C$35:$E$35,(1+$A6)^(-('Calc - research target (12m)'!$C$19:$E$19-'Calc - research target (12m)'!$B$13)))+'Calc - research target (12m)'!$E$31*(1+B$4)/($A6-B$4)/(1+$A6)^('Calc - research target (12m)'!$B$16-'Calc - research target (12m)'!$B$13))-'Calc - research target (12m)'!$B$50-'Calc - research target (12m)'!$B$51+'Calc - research target (12m)'!$B$52)/'Calc - research target (12m)'!$B$53)</f>
        <v/>
      </c>
      <c r="C6" s="9">
        <f>IF($A6-C$4&lt;=0.01,"n/a",((SUMPRODUCT('Calc - research target (12m)'!$C$31:$E$31,'Calc - research target (12m)'!$C$35:$E$35,(1+$A6)^(-('Calc - research target (12m)'!$C$19:$E$19-'Calc - research target (12m)'!$B$13)))+'Calc - research target (12m)'!$E$31*(1+C$4)/($A6-C$4)/(1+$A6)^('Calc - research target (12m)'!$B$16-'Calc - research target (12m)'!$B$13))-'Calc - research target (12m)'!$B$50-'Calc - research target (12m)'!$B$51+'Calc - research target (12m)'!$B$52)/'Calc - research target (12m)'!$B$53)</f>
        <v/>
      </c>
      <c r="D6" s="9">
        <f>IF($A6-D$4&lt;=0.01,"n/a",((SUMPRODUCT('Calc - research target (12m)'!$C$31:$E$31,'Calc - research target (12m)'!$C$35:$E$35,(1+$A6)^(-('Calc - research target (12m)'!$C$19:$E$19-'Calc - research target (12m)'!$B$13)))+'Calc - research target (12m)'!$E$31*(1+D$4)/($A6-D$4)/(1+$A6)^('Calc - research target (12m)'!$B$16-'Calc - research target (12m)'!$B$13))-'Calc - research target (12m)'!$B$50-'Calc - research target (12m)'!$B$51+'Calc - research target (12m)'!$B$52)/'Calc - research target (12m)'!$B$53)</f>
        <v/>
      </c>
      <c r="E6" s="9">
        <f>IF($A6-E$4&lt;=0.01,"n/a",((SUMPRODUCT('Calc - research target (12m)'!$C$31:$E$31,'Calc - research target (12m)'!$C$35:$E$35,(1+$A6)^(-('Calc - research target (12m)'!$C$19:$E$19-'Calc - research target (12m)'!$B$13)))+'Calc - research target (12m)'!$E$31*(1+E$4)/($A6-E$4)/(1+$A6)^('Calc - research target (12m)'!$B$16-'Calc - research target (12m)'!$B$13))-'Calc - research target (12m)'!$B$50-'Calc - research target (12m)'!$B$51+'Calc - research target (12m)'!$B$52)/'Calc - research target (12m)'!$B$53)</f>
        <v/>
      </c>
      <c r="F6" s="9">
        <f>IF($A6-F$4&lt;=0.01,"n/a",((SUMPRODUCT('Calc - research target (12m)'!$C$31:$E$31,'Calc - research target (12m)'!$C$35:$E$35,(1+$A6)^(-('Calc - research target (12m)'!$C$19:$E$19-'Calc - research target (12m)'!$B$13)))+'Calc - research target (12m)'!$E$31*(1+F$4)/($A6-F$4)/(1+$A6)^('Calc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7">
      <c r="A7" s="7">
        <f>Valuation!$B$51+(0)</f>
        <v/>
      </c>
      <c r="B7" s="9">
        <f>IF($A7-B$4&lt;=0.01,"n/a",((SUMPRODUCT('Calc - research target (12m)'!$C$31:$E$31,'Calc - research target (12m)'!$C$35:$E$35,(1+$A7)^(-('Calc - research target (12m)'!$C$19:$E$19-'Calc - research target (12m)'!$B$13)))+'Calc - research target (12m)'!$E$31*(1+B$4)/($A7-B$4)/(1+$A7)^('Calc - research target (12m)'!$B$16-'Calc - research target (12m)'!$B$13))-'Calc - research target (12m)'!$B$50-'Calc - research target (12m)'!$B$51+'Calc - research target (12m)'!$B$52)/'Calc - research target (12m)'!$B$53)</f>
        <v/>
      </c>
      <c r="C7" s="9">
        <f>IF($A7-C$4&lt;=0.01,"n/a",((SUMPRODUCT('Calc - research target (12m)'!$C$31:$E$31,'Calc - research target (12m)'!$C$35:$E$35,(1+$A7)^(-('Calc - research target (12m)'!$C$19:$E$19-'Calc - research target (12m)'!$B$13)))+'Calc - research target (12m)'!$E$31*(1+C$4)/($A7-C$4)/(1+$A7)^('Calc - research target (12m)'!$B$16-'Calc - research target (12m)'!$B$13))-'Calc - research target (12m)'!$B$50-'Calc - research target (12m)'!$B$51+'Calc - research target (12m)'!$B$52)/'Calc - research target (12m)'!$B$53)</f>
        <v/>
      </c>
      <c r="D7" s="6">
        <f>IF($A7-D$4&lt;=0.01,"n/a",((SUMPRODUCT('Calc - research target (12m)'!$C$31:$E$31,'Calc - research target (12m)'!$C$35:$E$35,(1+$A7)^(-('Calc - research target (12m)'!$C$19:$E$19-'Calc - research target (12m)'!$B$13)))+'Calc - research target (12m)'!$E$31*(1+D$4)/($A7-D$4)/(1+$A7)^('Calc - research target (12m)'!$B$16-'Calc - research target (12m)'!$B$13))-'Calc - research target (12m)'!$B$50-'Calc - research target (12m)'!$B$51+'Calc - research target (12m)'!$B$52)/'Calc - research target (12m)'!$B$53)</f>
        <v/>
      </c>
      <c r="E7" s="9">
        <f>IF($A7-E$4&lt;=0.01,"n/a",((SUMPRODUCT('Calc - research target (12m)'!$C$31:$E$31,'Calc - research target (12m)'!$C$35:$E$35,(1+$A7)^(-('Calc - research target (12m)'!$C$19:$E$19-'Calc - research target (12m)'!$B$13)))+'Calc - research target (12m)'!$E$31*(1+E$4)/($A7-E$4)/(1+$A7)^('Calc - research target (12m)'!$B$16-'Calc - research target (12m)'!$B$13))-'Calc - research target (12m)'!$B$50-'Calc - research target (12m)'!$B$51+'Calc - research target (12m)'!$B$52)/'Calc - research target (12m)'!$B$53)</f>
        <v/>
      </c>
      <c r="F7" s="9">
        <f>IF($A7-F$4&lt;=0.01,"n/a",((SUMPRODUCT('Calc - research target (12m)'!$C$31:$E$31,'Calc - research target (12m)'!$C$35:$E$35,(1+$A7)^(-('Calc - research target (12m)'!$C$19:$E$19-'Calc - research target (12m)'!$B$13)))+'Calc - research target (12m)'!$E$31*(1+F$4)/($A7-F$4)/(1+$A7)^('Calc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8">
      <c r="A8" s="7">
        <f>Valuation!$B$51+(0.005)</f>
        <v/>
      </c>
      <c r="B8" s="9">
        <f>IF($A8-B$4&lt;=0.01,"n/a",((SUMPRODUCT('Calc - research target (12m)'!$C$31:$E$31,'Calc - research target (12m)'!$C$35:$E$35,(1+$A8)^(-('Calc - research target (12m)'!$C$19:$E$19-'Calc - research target (12m)'!$B$13)))+'Calc - research target (12m)'!$E$31*(1+B$4)/($A8-B$4)/(1+$A8)^('Calc - research target (12m)'!$B$16-'Calc - research target (12m)'!$B$13))-'Calc - research target (12m)'!$B$50-'Calc - research target (12m)'!$B$51+'Calc - research target (12m)'!$B$52)/'Calc - research target (12m)'!$B$53)</f>
        <v/>
      </c>
      <c r="C8" s="9">
        <f>IF($A8-C$4&lt;=0.01,"n/a",((SUMPRODUCT('Calc - research target (12m)'!$C$31:$E$31,'Calc - research target (12m)'!$C$35:$E$35,(1+$A8)^(-('Calc - research target (12m)'!$C$19:$E$19-'Calc - research target (12m)'!$B$13)))+'Calc - research target (12m)'!$E$31*(1+C$4)/($A8-C$4)/(1+$A8)^('Calc - research target (12m)'!$B$16-'Calc - research target (12m)'!$B$13))-'Calc - research target (12m)'!$B$50-'Calc - research target (12m)'!$B$51+'Calc - research target (12m)'!$B$52)/'Calc - research target (12m)'!$B$53)</f>
        <v/>
      </c>
      <c r="D8" s="9">
        <f>IF($A8-D$4&lt;=0.01,"n/a",((SUMPRODUCT('Calc - research target (12m)'!$C$31:$E$31,'Calc - research target (12m)'!$C$35:$E$35,(1+$A8)^(-('Calc - research target (12m)'!$C$19:$E$19-'Calc - research target (12m)'!$B$13)))+'Calc - research target (12m)'!$E$31*(1+D$4)/($A8-D$4)/(1+$A8)^('Calc - research target (12m)'!$B$16-'Calc - research target (12m)'!$B$13))-'Calc - research target (12m)'!$B$50-'Calc - research target (12m)'!$B$51+'Calc - research target (12m)'!$B$52)/'Calc - research target (12m)'!$B$53)</f>
        <v/>
      </c>
      <c r="E8" s="9">
        <f>IF($A8-E$4&lt;=0.01,"n/a",((SUMPRODUCT('Calc - research target (12m)'!$C$31:$E$31,'Calc - research target (12m)'!$C$35:$E$35,(1+$A8)^(-('Calc - research target (12m)'!$C$19:$E$19-'Calc - research target (12m)'!$B$13)))+'Calc - research target (12m)'!$E$31*(1+E$4)/($A8-E$4)/(1+$A8)^('Calc - research target (12m)'!$B$16-'Calc - research target (12m)'!$B$13))-'Calc - research target (12m)'!$B$50-'Calc - research target (12m)'!$B$51+'Calc - research target (12m)'!$B$52)/'Calc - research target (12m)'!$B$53)</f>
        <v/>
      </c>
      <c r="F8" s="9">
        <f>IF($A8-F$4&lt;=0.01,"n/a",((SUMPRODUCT('Calc - research target (12m)'!$C$31:$E$31,'Calc - research target (12m)'!$C$35:$E$35,(1+$A8)^(-('Calc - research target (12m)'!$C$19:$E$19-'Calc - research target (12m)'!$B$13)))+'Calc - research target (12m)'!$E$31*(1+F$4)/($A8-F$4)/(1+$A8)^('Calc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9">
      <c r="A9" s="7">
        <f>Valuation!$B$51+(0.01)</f>
        <v/>
      </c>
      <c r="B9" s="9">
        <f>IF($A9-B$4&lt;=0.01,"n/a",((SUMPRODUCT('Calc - research target (12m)'!$C$31:$E$31,'Calc - research target (12m)'!$C$35:$E$35,(1+$A9)^(-('Calc - research target (12m)'!$C$19:$E$19-'Calc - research target (12m)'!$B$13)))+'Calc - research target (12m)'!$E$31*(1+B$4)/($A9-B$4)/(1+$A9)^('Calc - research target (12m)'!$B$16-'Calc - research target (12m)'!$B$13))-'Calc - research target (12m)'!$B$50-'Calc - research target (12m)'!$B$51+'Calc - research target (12m)'!$B$52)/'Calc - research target (12m)'!$B$53)</f>
        <v/>
      </c>
      <c r="C9" s="9">
        <f>IF($A9-C$4&lt;=0.01,"n/a",((SUMPRODUCT('Calc - research target (12m)'!$C$31:$E$31,'Calc - research target (12m)'!$C$35:$E$35,(1+$A9)^(-('Calc - research target (12m)'!$C$19:$E$19-'Calc - research target (12m)'!$B$13)))+'Calc - research target (12m)'!$E$31*(1+C$4)/($A9-C$4)/(1+$A9)^('Calc - research target (12m)'!$B$16-'Calc - research target (12m)'!$B$13))-'Calc - research target (12m)'!$B$50-'Calc - research target (12m)'!$B$51+'Calc - research target (12m)'!$B$52)/'Calc - research target (12m)'!$B$53)</f>
        <v/>
      </c>
      <c r="D9" s="9">
        <f>IF($A9-D$4&lt;=0.01,"n/a",((SUMPRODUCT('Calc - research target (12m)'!$C$31:$E$31,'Calc - research target (12m)'!$C$35:$E$35,(1+$A9)^(-('Calc - research target (12m)'!$C$19:$E$19-'Calc - research target (12m)'!$B$13)))+'Calc - research target (12m)'!$E$31*(1+D$4)/($A9-D$4)/(1+$A9)^('Calc - research target (12m)'!$B$16-'Calc - research target (12m)'!$B$13))-'Calc - research target (12m)'!$B$50-'Calc - research target (12m)'!$B$51+'Calc - research target (12m)'!$B$52)/'Calc - research target (12m)'!$B$53)</f>
        <v/>
      </c>
      <c r="E9" s="9">
        <f>IF($A9-E$4&lt;=0.01,"n/a",((SUMPRODUCT('Calc - research target (12m)'!$C$31:$E$31,'Calc - research target (12m)'!$C$35:$E$35,(1+$A9)^(-('Calc - research target (12m)'!$C$19:$E$19-'Calc - research target (12m)'!$B$13)))+'Calc - research target (12m)'!$E$31*(1+E$4)/($A9-E$4)/(1+$A9)^('Calc - research target (12m)'!$B$16-'Calc - research target (12m)'!$B$13))-'Calc - research target (12m)'!$B$50-'Calc - research target (12m)'!$B$51+'Calc - research target (12m)'!$B$52)/'Calc - research target (12m)'!$B$53)</f>
        <v/>
      </c>
      <c r="F9" s="9">
        <f>IF($A9-F$4&lt;=0.01,"n/a",((SUMPRODUCT('Calc - research target (12m)'!$C$31:$E$31,'Calc - research target (12m)'!$C$35:$E$35,(1+$A9)^(-('Calc - research target (12m)'!$C$19:$E$19-'Calc - research target (12m)'!$B$13)))+'Calc - research target (12m)'!$E$31*(1+F$4)/($A9-F$4)/(1+$A9)^('Calc - research target (12m)'!$B$16-'Calc - research target (12m)'!$B$13))-'Calc - research target (12m)'!$B$50-'Calc - research target (12m)'!$B$51+'Calc - research target (12m)'!$B$52)/'Calc - research target (12m)'!$B$53)</f>
        <v/>
      </c>
    </row>
    <row r="11">
      <c r="A11" s="19" t="inlineStr">
        <is>
          <t>Research target (12m) per share: P/E multiple (down) x metric at target date (across)</t>
        </is>
      </c>
    </row>
    <row r="12">
      <c r="A12" s="19" t="inlineStr">
        <is>
          <t>Multiple \ metric</t>
        </is>
      </c>
      <c r="B12" s="25">
        <f>'Calc - research target (12m)'!$E$68*0.9</f>
        <v/>
      </c>
      <c r="C12" s="25">
        <f>'Calc - research target (12m)'!$E$68*0.95</f>
        <v/>
      </c>
      <c r="D12" s="25">
        <f>'Calc - research target (12m)'!$E$68*1.0</f>
        <v/>
      </c>
      <c r="E12" s="25">
        <f>'Calc - research target (12m)'!$E$68*1.05</f>
        <v/>
      </c>
      <c r="F12" s="25">
        <f>'Calc - research target (12m)'!$E$68*1.1</f>
        <v/>
      </c>
    </row>
    <row r="13">
      <c r="A13" s="45">
        <f>Valuation!$B$70+(-3)</f>
        <v/>
      </c>
      <c r="B13" s="9">
        <f>((SUMPRODUCT('Calc - research target (12m)'!$F$67:$F$69,'Calc - research target (12m)'!$G$67:$G$69)-'Calc - research target (12m)'!$F$68*'Calc - research target (12m)'!$G$68)+'Calc - research target (12m)'!$G$68*($A13*(B$12-'Calc - research target (12m)'!$B$54)/'Calc - research target (12m)'!$B$53+'Calc - research target (12m)'!$B$52/'Calc - research target (12m)'!$B$53))/SUM('Calc - research target (12m)'!$G$67:$G$69)</f>
        <v/>
      </c>
      <c r="C13" s="9">
        <f>((SUMPRODUCT('Calc - research target (12m)'!$F$67:$F$69,'Calc - research target (12m)'!$G$67:$G$69)-'Calc - research target (12m)'!$F$68*'Calc - research target (12m)'!$G$68)+'Calc - research target (12m)'!$G$68*($A13*(C$12-'Calc - research target (12m)'!$B$54)/'Calc - research target (12m)'!$B$53+'Calc - research target (12m)'!$B$52/'Calc - research target (12m)'!$B$53))/SUM('Calc - research target (12m)'!$G$67:$G$69)</f>
        <v/>
      </c>
      <c r="D13" s="9">
        <f>((SUMPRODUCT('Calc - research target (12m)'!$F$67:$F$69,'Calc - research target (12m)'!$G$67:$G$69)-'Calc - research target (12m)'!$F$68*'Calc - research target (12m)'!$G$68)+'Calc - research target (12m)'!$G$68*($A13*(D$12-'Calc - research target (12m)'!$B$54)/'Calc - research target (12m)'!$B$53+'Calc - research target (12m)'!$B$52/'Calc - research target (12m)'!$B$53))/SUM('Calc - research target (12m)'!$G$67:$G$69)</f>
        <v/>
      </c>
      <c r="E13" s="9">
        <f>((SUMPRODUCT('Calc - research target (12m)'!$F$67:$F$69,'Calc - research target (12m)'!$G$67:$G$69)-'Calc - research target (12m)'!$F$68*'Calc - research target (12m)'!$G$68)+'Calc - research target (12m)'!$G$68*($A13*(E$12-'Calc - research target (12m)'!$B$54)/'Calc - research target (12m)'!$B$53+'Calc - research target (12m)'!$B$52/'Calc - research target (12m)'!$B$53))/SUM('Calc - research target (12m)'!$G$67:$G$69)</f>
        <v/>
      </c>
      <c r="F13" s="9">
        <f>((SUMPRODUCT('Calc - research target (12m)'!$F$67:$F$69,'Calc - research target (12m)'!$G$67:$G$69)-'Calc - research target (12m)'!$F$68*'Calc - research target (12m)'!$G$68)+'Calc - research target (12m)'!$G$68*($A13*(F$12-'Calc - research target (12m)'!$B$54)/'Calc - research target (12m)'!$B$53+'Calc - research target (12m)'!$B$52/'Calc - research target (12m)'!$B$53))/SUM('Calc - research target (12m)'!$G$67:$G$69)</f>
        <v/>
      </c>
    </row>
    <row r="14">
      <c r="A14" s="45">
        <f>Valuation!$B$70+(-2)</f>
        <v/>
      </c>
      <c r="B14" s="9">
        <f>((SUMPRODUCT('Calc - research target (12m)'!$F$67:$F$69,'Calc - research target (12m)'!$G$67:$G$69)-'Calc - research target (12m)'!$F$68*'Calc - research target (12m)'!$G$68)+'Calc - research target (12m)'!$G$68*($A14*(B$12-'Calc - research target (12m)'!$B$54)/'Calc - research target (12m)'!$B$53+'Calc - research target (12m)'!$B$52/'Calc - research target (12m)'!$B$53))/SUM('Calc - research target (12m)'!$G$67:$G$69)</f>
        <v/>
      </c>
      <c r="C14" s="9">
        <f>((SUMPRODUCT('Calc - research target (12m)'!$F$67:$F$69,'Calc - research target (12m)'!$G$67:$G$69)-'Calc - research target (12m)'!$F$68*'Calc - research target (12m)'!$G$68)+'Calc - research target (12m)'!$G$68*($A14*(C$12-'Calc - research target (12m)'!$B$54)/'Calc - research target (12m)'!$B$53+'Calc - research target (12m)'!$B$52/'Calc - research target (12m)'!$B$53))/SUM('Calc - research target (12m)'!$G$67:$G$69)</f>
        <v/>
      </c>
      <c r="D14" s="9">
        <f>((SUMPRODUCT('Calc - research target (12m)'!$F$67:$F$69,'Calc - research target (12m)'!$G$67:$G$69)-'Calc - research target (12m)'!$F$68*'Calc - research target (12m)'!$G$68)+'Calc - research target (12m)'!$G$68*($A14*(D$12-'Calc - research target (12m)'!$B$54)/'Calc - research target (12m)'!$B$53+'Calc - research target (12m)'!$B$52/'Calc - research target (12m)'!$B$53))/SUM('Calc - research target (12m)'!$G$67:$G$69)</f>
        <v/>
      </c>
      <c r="E14" s="9">
        <f>((SUMPRODUCT('Calc - research target (12m)'!$F$67:$F$69,'Calc - research target (12m)'!$G$67:$G$69)-'Calc - research target (12m)'!$F$68*'Calc - research target (12m)'!$G$68)+'Calc - research target (12m)'!$G$68*($A14*(E$12-'Calc - research target (12m)'!$B$54)/'Calc - research target (12m)'!$B$53+'Calc - research target (12m)'!$B$52/'Calc - research target (12m)'!$B$53))/SUM('Calc - research target (12m)'!$G$67:$G$69)</f>
        <v/>
      </c>
      <c r="F14" s="9">
        <f>((SUMPRODUCT('Calc - research target (12m)'!$F$67:$F$69,'Calc - research target (12m)'!$G$67:$G$69)-'Calc - research target (12m)'!$F$68*'Calc - research target (12m)'!$G$68)+'Calc - research target (12m)'!$G$68*($A14*(F$12-'Calc - research target (12m)'!$B$54)/'Calc - research target (12m)'!$B$53+'Calc - research target (12m)'!$B$52/'Calc - research target (12m)'!$B$53))/SUM('Calc - research target (12m)'!$G$67:$G$69)</f>
        <v/>
      </c>
    </row>
    <row r="15">
      <c r="A15" s="45">
        <f>Valuation!$B$70+(-1)</f>
        <v/>
      </c>
      <c r="B15" s="9">
        <f>((SUMPRODUCT('Calc - research target (12m)'!$F$67:$F$69,'Calc - research target (12m)'!$G$67:$G$69)-'Calc - research target (12m)'!$F$68*'Calc - research target (12m)'!$G$68)+'Calc - research target (12m)'!$G$68*($A15*(B$12-'Calc - research target (12m)'!$B$54)/'Calc - research target (12m)'!$B$53+'Calc - research target (12m)'!$B$52/'Calc - research target (12m)'!$B$53))/SUM('Calc - research target (12m)'!$G$67:$G$69)</f>
        <v/>
      </c>
      <c r="C15" s="9">
        <f>((SUMPRODUCT('Calc - research target (12m)'!$F$67:$F$69,'Calc - research target (12m)'!$G$67:$G$69)-'Calc - research target (12m)'!$F$68*'Calc - research target (12m)'!$G$68)+'Calc - research target (12m)'!$G$68*($A15*(C$12-'Calc - research target (12m)'!$B$54)/'Calc - research target (12m)'!$B$53+'Calc - research target (12m)'!$B$52/'Calc - research target (12m)'!$B$53))/SUM('Calc - research target (12m)'!$G$67:$G$69)</f>
        <v/>
      </c>
      <c r="D15" s="9">
        <f>((SUMPRODUCT('Calc - research target (12m)'!$F$67:$F$69,'Calc - research target (12m)'!$G$67:$G$69)-'Calc - research target (12m)'!$F$68*'Calc - research target (12m)'!$G$68)+'Calc - research target (12m)'!$G$68*($A15*(D$12-'Calc - research target (12m)'!$B$54)/'Calc - research target (12m)'!$B$53+'Calc - research target (12m)'!$B$52/'Calc - research target (12m)'!$B$53))/SUM('Calc - research target (12m)'!$G$67:$G$69)</f>
        <v/>
      </c>
      <c r="E15" s="9">
        <f>((SUMPRODUCT('Calc - research target (12m)'!$F$67:$F$69,'Calc - research target (12m)'!$G$67:$G$69)-'Calc - research target (12m)'!$F$68*'Calc - research target (12m)'!$G$68)+'Calc - research target (12m)'!$G$68*($A15*(E$12-'Calc - research target (12m)'!$B$54)/'Calc - research target (12m)'!$B$53+'Calc - research target (12m)'!$B$52/'Calc - research target (12m)'!$B$53))/SUM('Calc - research target (12m)'!$G$67:$G$69)</f>
        <v/>
      </c>
      <c r="F15" s="9">
        <f>((SUMPRODUCT('Calc - research target (12m)'!$F$67:$F$69,'Calc - research target (12m)'!$G$67:$G$69)-'Calc - research target (12m)'!$F$68*'Calc - research target (12m)'!$G$68)+'Calc - research target (12m)'!$G$68*($A15*(F$12-'Calc - research target (12m)'!$B$54)/'Calc - research target (12m)'!$B$53+'Calc - research target (12m)'!$B$52/'Calc - research target (12m)'!$B$53))/SUM('Calc - research target (12m)'!$G$67:$G$69)</f>
        <v/>
      </c>
    </row>
    <row r="16">
      <c r="A16" s="45">
        <f>Valuation!$B$70+(0)</f>
        <v/>
      </c>
      <c r="B16" s="9">
        <f>((SUMPRODUCT('Calc - research target (12m)'!$F$67:$F$69,'Calc - research target (12m)'!$G$67:$G$69)-'Calc - research target (12m)'!$F$68*'Calc - research target (12m)'!$G$68)+'Calc - research target (12m)'!$G$68*($A16*(B$12-'Calc - research target (12m)'!$B$54)/'Calc - research target (12m)'!$B$53+'Calc - research target (12m)'!$B$52/'Calc - research target (12m)'!$B$53))/SUM('Calc - research target (12m)'!$G$67:$G$69)</f>
        <v/>
      </c>
      <c r="C16" s="9">
        <f>((SUMPRODUCT('Calc - research target (12m)'!$F$67:$F$69,'Calc - research target (12m)'!$G$67:$G$69)-'Calc - research target (12m)'!$F$68*'Calc - research target (12m)'!$G$68)+'Calc - research target (12m)'!$G$68*($A16*(C$12-'Calc - research target (12m)'!$B$54)/'Calc - research target (12m)'!$B$53+'Calc - research target (12m)'!$B$52/'Calc - research target (12m)'!$B$53))/SUM('Calc - research target (12m)'!$G$67:$G$69)</f>
        <v/>
      </c>
      <c r="D16" s="6">
        <f>((SUMPRODUCT('Calc - research target (12m)'!$F$67:$F$69,'Calc - research target (12m)'!$G$67:$G$69)-'Calc - research target (12m)'!$F$68*'Calc - research target (12m)'!$G$68)+'Calc - research target (12m)'!$G$68*($A16*(D$12-'Calc - research target (12m)'!$B$54)/'Calc - research target (12m)'!$B$53+'Calc - research target (12m)'!$B$52/'Calc - research target (12m)'!$B$53))/SUM('Calc - research target (12m)'!$G$67:$G$69)</f>
        <v/>
      </c>
      <c r="E16" s="9">
        <f>((SUMPRODUCT('Calc - research target (12m)'!$F$67:$F$69,'Calc - research target (12m)'!$G$67:$G$69)-'Calc - research target (12m)'!$F$68*'Calc - research target (12m)'!$G$68)+'Calc - research target (12m)'!$G$68*($A16*(E$12-'Calc - research target (12m)'!$B$54)/'Calc - research target (12m)'!$B$53+'Calc - research target (12m)'!$B$52/'Calc - research target (12m)'!$B$53))/SUM('Calc - research target (12m)'!$G$67:$G$69)</f>
        <v/>
      </c>
      <c r="F16" s="9">
        <f>((SUMPRODUCT('Calc - research target (12m)'!$F$67:$F$69,'Calc - research target (12m)'!$G$67:$G$69)-'Calc - research target (12m)'!$F$68*'Calc - research target (12m)'!$G$68)+'Calc - research target (12m)'!$G$68*($A16*(F$12-'Calc - research target (12m)'!$B$54)/'Calc - research target (12m)'!$B$53+'Calc - research target (12m)'!$B$52/'Calc - research target (12m)'!$B$53))/SUM('Calc - research target (12m)'!$G$67:$G$69)</f>
        <v/>
      </c>
    </row>
    <row r="17">
      <c r="A17" s="45">
        <f>Valuation!$B$70+(1)</f>
        <v/>
      </c>
      <c r="B17" s="9">
        <f>((SUMPRODUCT('Calc - research target (12m)'!$F$67:$F$69,'Calc - research target (12m)'!$G$67:$G$69)-'Calc - research target (12m)'!$F$68*'Calc - research target (12m)'!$G$68)+'Calc - research target (12m)'!$G$68*($A17*(B$12-'Calc - research target (12m)'!$B$54)/'Calc - research target (12m)'!$B$53+'Calc - research target (12m)'!$B$52/'Calc - research target (12m)'!$B$53))/SUM('Calc - research target (12m)'!$G$67:$G$69)</f>
        <v/>
      </c>
      <c r="C17" s="9">
        <f>((SUMPRODUCT('Calc - research target (12m)'!$F$67:$F$69,'Calc - research target (12m)'!$G$67:$G$69)-'Calc - research target (12m)'!$F$68*'Calc - research target (12m)'!$G$68)+'Calc - research target (12m)'!$G$68*($A17*(C$12-'Calc - research target (12m)'!$B$54)/'Calc - research target (12m)'!$B$53+'Calc - research target (12m)'!$B$52/'Calc - research target (12m)'!$B$53))/SUM('Calc - research target (12m)'!$G$67:$G$69)</f>
        <v/>
      </c>
      <c r="D17" s="9">
        <f>((SUMPRODUCT('Calc - research target (12m)'!$F$67:$F$69,'Calc - research target (12m)'!$G$67:$G$69)-'Calc - research target (12m)'!$F$68*'Calc - research target (12m)'!$G$68)+'Calc - research target (12m)'!$G$68*($A17*(D$12-'Calc - research target (12m)'!$B$54)/'Calc - research target (12m)'!$B$53+'Calc - research target (12m)'!$B$52/'Calc - research target (12m)'!$B$53))/SUM('Calc - research target (12m)'!$G$67:$G$69)</f>
        <v/>
      </c>
      <c r="E17" s="9">
        <f>((SUMPRODUCT('Calc - research target (12m)'!$F$67:$F$69,'Calc - research target (12m)'!$G$67:$G$69)-'Calc - research target (12m)'!$F$68*'Calc - research target (12m)'!$G$68)+'Calc - research target (12m)'!$G$68*($A17*(E$12-'Calc - research target (12m)'!$B$54)/'Calc - research target (12m)'!$B$53+'Calc - research target (12m)'!$B$52/'Calc - research target (12m)'!$B$53))/SUM('Calc - research target (12m)'!$G$67:$G$69)</f>
        <v/>
      </c>
      <c r="F17" s="9">
        <f>((SUMPRODUCT('Calc - research target (12m)'!$F$67:$F$69,'Calc - research target (12m)'!$G$67:$G$69)-'Calc - research target (12m)'!$F$68*'Calc - research target (12m)'!$G$68)+'Calc - research target (12m)'!$G$68*($A17*(F$12-'Calc - research target (12m)'!$B$54)/'Calc - research target (12m)'!$B$53+'Calc - research target (12m)'!$B$52/'Calc - research target (12m)'!$B$53))/SUM('Calc - research target (12m)'!$G$67:$G$69)</f>
        <v/>
      </c>
    </row>
    <row r="18">
      <c r="A18" s="45">
        <f>Valuation!$B$70+(2)</f>
        <v/>
      </c>
      <c r="B18" s="9">
        <f>((SUMPRODUCT('Calc - research target (12m)'!$F$67:$F$69,'Calc - research target (12m)'!$G$67:$G$69)-'Calc - research target (12m)'!$F$68*'Calc - research target (12m)'!$G$68)+'Calc - research target (12m)'!$G$68*($A18*(B$12-'Calc - research target (12m)'!$B$54)/'Calc - research target (12m)'!$B$53+'Calc - research target (12m)'!$B$52/'Calc - research target (12m)'!$B$53))/SUM('Calc - research target (12m)'!$G$67:$G$69)</f>
        <v/>
      </c>
      <c r="C18" s="9">
        <f>((SUMPRODUCT('Calc - research target (12m)'!$F$67:$F$69,'Calc - research target (12m)'!$G$67:$G$69)-'Calc - research target (12m)'!$F$68*'Calc - research target (12m)'!$G$68)+'Calc - research target (12m)'!$G$68*($A18*(C$12-'Calc - research target (12m)'!$B$54)/'Calc - research target (12m)'!$B$53+'Calc - research target (12m)'!$B$52/'Calc - research target (12m)'!$B$53))/SUM('Calc - research target (12m)'!$G$67:$G$69)</f>
        <v/>
      </c>
      <c r="D18" s="9">
        <f>((SUMPRODUCT('Calc - research target (12m)'!$F$67:$F$69,'Calc - research target (12m)'!$G$67:$G$69)-'Calc - research target (12m)'!$F$68*'Calc - research target (12m)'!$G$68)+'Calc - research target (12m)'!$G$68*($A18*(D$12-'Calc - research target (12m)'!$B$54)/'Calc - research target (12m)'!$B$53+'Calc - research target (12m)'!$B$52/'Calc - research target (12m)'!$B$53))/SUM('Calc - research target (12m)'!$G$67:$G$69)</f>
        <v/>
      </c>
      <c r="E18" s="9">
        <f>((SUMPRODUCT('Calc - research target (12m)'!$F$67:$F$69,'Calc - research target (12m)'!$G$67:$G$69)-'Calc - research target (12m)'!$F$68*'Calc - research target (12m)'!$G$68)+'Calc - research target (12m)'!$G$68*($A18*(E$12-'Calc - research target (12m)'!$B$54)/'Calc - research target (12m)'!$B$53+'Calc - research target (12m)'!$B$52/'Calc - research target (12m)'!$B$53))/SUM('Calc - research target (12m)'!$G$67:$G$69)</f>
        <v/>
      </c>
      <c r="F18" s="9">
        <f>((SUMPRODUCT('Calc - research target (12m)'!$F$67:$F$69,'Calc - research target (12m)'!$G$67:$G$69)-'Calc - research target (12m)'!$F$68*'Calc - research target (12m)'!$G$68)+'Calc - research target (12m)'!$G$68*($A18*(F$12-'Calc - research target (12m)'!$B$54)/'Calc - research target (12m)'!$B$53+'Calc - research target (12m)'!$B$52/'Calc - research target (12m)'!$B$53))/SUM('Calc - research target (12m)'!$G$67:$G$69)</f>
        <v/>
      </c>
    </row>
    <row r="19">
      <c r="A19" s="45">
        <f>Valuation!$B$70+(3)</f>
        <v/>
      </c>
      <c r="B19" s="9">
        <f>((SUMPRODUCT('Calc - research target (12m)'!$F$67:$F$69,'Calc - research target (12m)'!$G$67:$G$69)-'Calc - research target (12m)'!$F$68*'Calc - research target (12m)'!$G$68)+'Calc - research target (12m)'!$G$68*($A19*(B$12-'Calc - research target (12m)'!$B$54)/'Calc - research target (12m)'!$B$53+'Calc - research target (12m)'!$B$52/'Calc - research target (12m)'!$B$53))/SUM('Calc - research target (12m)'!$G$67:$G$69)</f>
        <v/>
      </c>
      <c r="C19" s="9">
        <f>((SUMPRODUCT('Calc - research target (12m)'!$F$67:$F$69,'Calc - research target (12m)'!$G$67:$G$69)-'Calc - research target (12m)'!$F$68*'Calc - research target (12m)'!$G$68)+'Calc - research target (12m)'!$G$68*($A19*(C$12-'Calc - research target (12m)'!$B$54)/'Calc - research target (12m)'!$B$53+'Calc - research target (12m)'!$B$52/'Calc - research target (12m)'!$B$53))/SUM('Calc - research target (12m)'!$G$67:$G$69)</f>
        <v/>
      </c>
      <c r="D19" s="9">
        <f>((SUMPRODUCT('Calc - research target (12m)'!$F$67:$F$69,'Calc - research target (12m)'!$G$67:$G$69)-'Calc - research target (12m)'!$F$68*'Calc - research target (12m)'!$G$68)+'Calc - research target (12m)'!$G$68*($A19*(D$12-'Calc - research target (12m)'!$B$54)/'Calc - research target (12m)'!$B$53+'Calc - research target (12m)'!$B$52/'Calc - research target (12m)'!$B$53))/SUM('Calc - research target (12m)'!$G$67:$G$69)</f>
        <v/>
      </c>
      <c r="E19" s="9">
        <f>((SUMPRODUCT('Calc - research target (12m)'!$F$67:$F$69,'Calc - research target (12m)'!$G$67:$G$69)-'Calc - research target (12m)'!$F$68*'Calc - research target (12m)'!$G$68)+'Calc - research target (12m)'!$G$68*($A19*(E$12-'Calc - research target (12m)'!$B$54)/'Calc - research target (12m)'!$B$53+'Calc - research target (12m)'!$B$52/'Calc - research target (12m)'!$B$53))/SUM('Calc - research target (12m)'!$G$67:$G$69)</f>
        <v/>
      </c>
      <c r="F19" s="9">
        <f>((SUMPRODUCT('Calc - research target (12m)'!$F$67:$F$69,'Calc - research target (12m)'!$G$67:$G$69)-'Calc - research target (12m)'!$F$68*'Calc - research target (12m)'!$G$68)+'Calc - research target (12m)'!$G$68*($A19*(F$12-'Calc - research target (12m)'!$B$54)/'Calc - research target (12m)'!$B$53+'Calc - research target (12m)'!$B$52/'Calc - research target (12m)'!$B$53))/SUM('Calc - research target (12m)'!$G$67:$G$69)</f>
        <v/>
      </c>
    </row>
    <row r="22">
      <c r="A22" s="19" t="inlineStr">
        <is>
          <t>FY2028E diluted EPS: revenue growth change in every year (down) x EBIT margin change (across)</t>
        </is>
      </c>
    </row>
    <row r="23">
      <c r="A23" s="19" t="inlineStr">
        <is>
          <t>Growth Δ \ margin Δ</t>
        </is>
      </c>
      <c r="B23" s="46" t="n">
        <v>-0.01</v>
      </c>
      <c r="C23" s="46" t="n">
        <v>-0.005</v>
      </c>
      <c r="D23" s="46" t="n">
        <v>0</v>
      </c>
      <c r="E23" s="46" t="n">
        <v>0.005</v>
      </c>
      <c r="F23" s="46" t="n">
        <v>0.01</v>
      </c>
    </row>
    <row r="24">
      <c r="A24" s="46" t="n">
        <v>-0.02</v>
      </c>
      <c r="B24" s="29">
        <f>(Valuation!$B$88*(1+Model!E12+$A24)*(1+Model!F12+$A24)*(Model!F14+B$23)+Valuation!$B$89*(1+Model!E16+$A24)*(1+Model!F16+$A24)*(Model!F18+B$23)+Model!F21+Model!F33)*(1-Model!F63)/Model!F40</f>
        <v/>
      </c>
      <c r="C24" s="29">
        <f>(Valuation!$B$88*(1+Model!E12+$A24)*(1+Model!F12+$A24)*(Model!F14+C$23)+Valuation!$B$89*(1+Model!E16+$A24)*(1+Model!F16+$A24)*(Model!F18+C$23)+Model!F21+Model!F33)*(1-Model!F63)/Model!F40</f>
        <v/>
      </c>
      <c r="D24" s="29">
        <f>(Valuation!$B$88*(1+Model!E12+$A24)*(1+Model!F12+$A24)*(Model!F14+D$23)+Valuation!$B$89*(1+Model!E16+$A24)*(1+Model!F16+$A24)*(Model!F18+D$23)+Model!F21+Model!F33)*(1-Model!F63)/Model!F40</f>
        <v/>
      </c>
      <c r="E24" s="29">
        <f>(Valuation!$B$88*(1+Model!E12+$A24)*(1+Model!F12+$A24)*(Model!F14+E$23)+Valuation!$B$89*(1+Model!E16+$A24)*(1+Model!F16+$A24)*(Model!F18+E$23)+Model!F21+Model!F33)*(1-Model!F63)/Model!F40</f>
        <v/>
      </c>
      <c r="F24" s="29">
        <f>(Valuation!$B$88*(1+Model!E12+$A24)*(1+Model!F12+$A24)*(Model!F14+F$23)+Valuation!$B$89*(1+Model!E16+$A24)*(1+Model!F16+$A24)*(Model!F18+F$23)+Model!F21+Model!F33)*(1-Model!F63)/Model!F40</f>
        <v/>
      </c>
    </row>
    <row r="25">
      <c r="A25" s="46" t="n">
        <v>-0.01</v>
      </c>
      <c r="B25" s="29">
        <f>(Valuation!$B$88*(1+Model!E12+$A25)*(1+Model!F12+$A25)*(Model!F14+B$23)+Valuation!$B$89*(1+Model!E16+$A25)*(1+Model!F16+$A25)*(Model!F18+B$23)+Model!F21+Model!F33)*(1-Model!F63)/Model!F40</f>
        <v/>
      </c>
      <c r="C25" s="29">
        <f>(Valuation!$B$88*(1+Model!E12+$A25)*(1+Model!F12+$A25)*(Model!F14+C$23)+Valuation!$B$89*(1+Model!E16+$A25)*(1+Model!F16+$A25)*(Model!F18+C$23)+Model!F21+Model!F33)*(1-Model!F63)/Model!F40</f>
        <v/>
      </c>
      <c r="D25" s="29">
        <f>(Valuation!$B$88*(1+Model!E12+$A25)*(1+Model!F12+$A25)*(Model!F14+D$23)+Valuation!$B$89*(1+Model!E16+$A25)*(1+Model!F16+$A25)*(Model!F18+D$23)+Model!F21+Model!F33)*(1-Model!F63)/Model!F40</f>
        <v/>
      </c>
      <c r="E25" s="29">
        <f>(Valuation!$B$88*(1+Model!E12+$A25)*(1+Model!F12+$A25)*(Model!F14+E$23)+Valuation!$B$89*(1+Model!E16+$A25)*(1+Model!F16+$A25)*(Model!F18+E$23)+Model!F21+Model!F33)*(1-Model!F63)/Model!F40</f>
        <v/>
      </c>
      <c r="F25" s="29">
        <f>(Valuation!$B$88*(1+Model!E12+$A25)*(1+Model!F12+$A25)*(Model!F14+F$23)+Valuation!$B$89*(1+Model!E16+$A25)*(1+Model!F16+$A25)*(Model!F18+F$23)+Model!F21+Model!F33)*(1-Model!F63)/Model!F40</f>
        <v/>
      </c>
    </row>
    <row r="26">
      <c r="A26" s="46" t="n">
        <v>0</v>
      </c>
      <c r="B26" s="29">
        <f>(Valuation!$B$88*(1+Model!E12+$A26)*(1+Model!F12+$A26)*(Model!F14+B$23)+Valuation!$B$89*(1+Model!E16+$A26)*(1+Model!F16+$A26)*(Model!F18+B$23)+Model!F21+Model!F33)*(1-Model!F63)/Model!F40</f>
        <v/>
      </c>
      <c r="C26" s="29">
        <f>(Valuation!$B$88*(1+Model!E12+$A26)*(1+Model!F12+$A26)*(Model!F14+C$23)+Valuation!$B$89*(1+Model!E16+$A26)*(1+Model!F16+$A26)*(Model!F18+C$23)+Model!F21+Model!F33)*(1-Model!F63)/Model!F40</f>
        <v/>
      </c>
      <c r="D26" s="30">
        <f>(Valuation!$B$88*(1+Model!E12+$A26)*(1+Model!F12+$A26)*(Model!F14+D$23)+Valuation!$B$89*(1+Model!E16+$A26)*(1+Model!F16+$A26)*(Model!F18+D$23)+Model!F21+Model!F33)*(1-Model!F63)/Model!F40</f>
        <v/>
      </c>
      <c r="E26" s="29">
        <f>(Valuation!$B$88*(1+Model!E12+$A26)*(1+Model!F12+$A26)*(Model!F14+E$23)+Valuation!$B$89*(1+Model!E16+$A26)*(1+Model!F16+$A26)*(Model!F18+E$23)+Model!F21+Model!F33)*(1-Model!F63)/Model!F40</f>
        <v/>
      </c>
      <c r="F26" s="29">
        <f>(Valuation!$B$88*(1+Model!E12+$A26)*(1+Model!F12+$A26)*(Model!F14+F$23)+Valuation!$B$89*(1+Model!E16+$A26)*(1+Model!F16+$A26)*(Model!F18+F$23)+Model!F21+Model!F33)*(1-Model!F63)/Model!F40</f>
        <v/>
      </c>
    </row>
    <row r="27">
      <c r="A27" s="46" t="n">
        <v>0.01</v>
      </c>
      <c r="B27" s="29">
        <f>(Valuation!$B$88*(1+Model!E12+$A27)*(1+Model!F12+$A27)*(Model!F14+B$23)+Valuation!$B$89*(1+Model!E16+$A27)*(1+Model!F16+$A27)*(Model!F18+B$23)+Model!F21+Model!F33)*(1-Model!F63)/Model!F40</f>
        <v/>
      </c>
      <c r="C27" s="29">
        <f>(Valuation!$B$88*(1+Model!E12+$A27)*(1+Model!F12+$A27)*(Model!F14+C$23)+Valuation!$B$89*(1+Model!E16+$A27)*(1+Model!F16+$A27)*(Model!F18+C$23)+Model!F21+Model!F33)*(1-Model!F63)/Model!F40</f>
        <v/>
      </c>
      <c r="D27" s="29">
        <f>(Valuation!$B$88*(1+Model!E12+$A27)*(1+Model!F12+$A27)*(Model!F14+D$23)+Valuation!$B$89*(1+Model!E16+$A27)*(1+Model!F16+$A27)*(Model!F18+D$23)+Model!F21+Model!F33)*(1-Model!F63)/Model!F40</f>
        <v/>
      </c>
      <c r="E27" s="29">
        <f>(Valuation!$B$88*(1+Model!E12+$A27)*(1+Model!F12+$A27)*(Model!F14+E$23)+Valuation!$B$89*(1+Model!E16+$A27)*(1+Model!F16+$A27)*(Model!F18+E$23)+Model!F21+Model!F33)*(1-Model!F63)/Model!F40</f>
        <v/>
      </c>
      <c r="F27" s="29">
        <f>(Valuation!$B$88*(1+Model!E12+$A27)*(1+Model!F12+$A27)*(Model!F14+F$23)+Valuation!$B$89*(1+Model!E16+$A27)*(1+Model!F16+$A27)*(Model!F18+F$23)+Model!F21+Model!F33)*(1-Model!F63)/Model!F40</f>
        <v/>
      </c>
    </row>
    <row r="28">
      <c r="A28" s="46" t="n">
        <v>0.02</v>
      </c>
      <c r="B28" s="29">
        <f>(Valuation!$B$88*(1+Model!E12+$A28)*(1+Model!F12+$A28)*(Model!F14+B$23)+Valuation!$B$89*(1+Model!E16+$A28)*(1+Model!F16+$A28)*(Model!F18+B$23)+Model!F21+Model!F33)*(1-Model!F63)/Model!F40</f>
        <v/>
      </c>
      <c r="C28" s="29">
        <f>(Valuation!$B$88*(1+Model!E12+$A28)*(1+Model!F12+$A28)*(Model!F14+C$23)+Valuation!$B$89*(1+Model!E16+$A28)*(1+Model!F16+$A28)*(Model!F18+C$23)+Model!F21+Model!F33)*(1-Model!F63)/Model!F40</f>
        <v/>
      </c>
      <c r="D28" s="29">
        <f>(Valuation!$B$88*(1+Model!E12+$A28)*(1+Model!F12+$A28)*(Model!F14+D$23)+Valuation!$B$89*(1+Model!E16+$A28)*(1+Model!F16+$A28)*(Model!F18+D$23)+Model!F21+Model!F33)*(1-Model!F63)/Model!F40</f>
        <v/>
      </c>
      <c r="E28" s="29">
        <f>(Valuation!$B$88*(1+Model!E12+$A28)*(1+Model!F12+$A28)*(Model!F14+E$23)+Valuation!$B$89*(1+Model!E16+$A28)*(1+Model!F16+$A28)*(Model!F18+E$23)+Model!F21+Model!F33)*(1-Model!F63)/Model!F40</f>
        <v/>
      </c>
      <c r="F28" s="29">
        <f>(Valuation!$B$88*(1+Model!E12+$A28)*(1+Model!F12+$A28)*(Model!F14+F$23)+Valuation!$B$89*(1+Model!E16+$A28)*(1+Model!F16+$A28)*(Model!F18+F$23)+Model!F21+Model!F33)*(1-Model!F63)/Model!F40</f>
        <v/>
      </c>
    </row>
    <row r="30">
      <c r="A30" s="2" t="inlineStr">
        <is>
          <t>Net interest and the share count are held at the base case in table 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6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CRDO: 12-month distribution (mix of lognormals around each scenario value)</t>
        </is>
      </c>
    </row>
    <row r="3">
      <c r="A3" s="3" t="inlineStr">
        <is>
          <t>Scenario</t>
        </is>
      </c>
      <c r="B3" s="3" t="inlineStr">
        <is>
          <t>Probability</t>
        </is>
      </c>
      <c r="C3" s="3" t="inlineStr">
        <is>
          <t>Value at target date</t>
        </is>
      </c>
      <c r="D3" s="3" t="inlineStr">
        <is>
          <t>Story</t>
        </is>
      </c>
    </row>
    <row r="4">
      <c r="A4" t="inlineStr">
        <is>
          <t>bear</t>
        </is>
      </c>
      <c r="B4" s="12">
        <f>Valuation!B83</f>
        <v/>
      </c>
      <c r="C4" s="4">
        <f>'Calc - bear'!$F$70</f>
        <v/>
      </c>
      <c r="D4">
        <f>Valuation!J83</f>
        <v/>
      </c>
    </row>
    <row r="5">
      <c r="A5" t="inlineStr">
        <is>
          <t>base</t>
        </is>
      </c>
      <c r="B5" s="12">
        <f>Valuation!B84</f>
        <v/>
      </c>
      <c r="C5" s="4">
        <f>'Calc - base'!$F$70</f>
        <v/>
      </c>
      <c r="D5">
        <f>Valuation!J84</f>
        <v/>
      </c>
    </row>
    <row r="6">
      <c r="A6" t="inlineStr">
        <is>
          <t>bull</t>
        </is>
      </c>
      <c r="B6" s="12">
        <f>Valuation!B85</f>
        <v/>
      </c>
      <c r="C6" s="4">
        <f>'Calc - bull'!$F$70</f>
        <v/>
      </c>
      <c r="D6">
        <f>Valuation!J85</f>
        <v/>
      </c>
    </row>
    <row r="8">
      <c r="A8" t="inlineStr">
        <is>
          <t>Probabilities sum to</t>
        </is>
      </c>
      <c r="B8" s="18">
        <f>SUM(B4:B6)</f>
        <v/>
      </c>
    </row>
    <row r="9">
      <c r="A9" t="inlineStr">
        <is>
          <t>Spread within each scenario</t>
        </is>
      </c>
      <c r="B9" s="12">
        <f>Valuation!$B$66</f>
        <v/>
      </c>
    </row>
    <row r="10">
      <c r="A10" t="inlineStr">
        <is>
          <t>Probability-weighted mean</t>
        </is>
      </c>
      <c r="B10" s="9">
        <f>($B$4*$C$4+$B$5*$C$5+$B$6*$C$6)*EXP($B$9^2/2)</f>
        <v/>
      </c>
    </row>
    <row r="12">
      <c r="A12" s="3" t="inlineStr">
        <is>
          <t>Quantile</t>
        </is>
      </c>
      <c r="B12" s="3" t="inlineStr">
        <is>
          <t>Price</t>
        </is>
      </c>
    </row>
    <row r="13">
      <c r="A13" t="inlineStr">
        <is>
          <t>Median (model target)</t>
        </is>
      </c>
      <c r="B13" s="9">
        <f>SQRT(A60*B60)</f>
        <v/>
      </c>
    </row>
    <row r="14">
      <c r="A14" t="inlineStr">
        <is>
          <t>10th percentile</t>
        </is>
      </c>
      <c r="B14" s="9">
        <f>SQRT(D60*E60)</f>
        <v/>
      </c>
    </row>
    <row r="15">
      <c r="A15" t="inlineStr">
        <is>
          <t>25th percentile</t>
        </is>
      </c>
      <c r="B15" s="9">
        <f>SQRT(G60*H60)</f>
        <v/>
      </c>
    </row>
    <row r="16">
      <c r="A16" t="inlineStr">
        <is>
          <t>75th percentile</t>
        </is>
      </c>
      <c r="B16" s="9">
        <f>SQRT(J60*K60)</f>
        <v/>
      </c>
    </row>
    <row r="17">
      <c r="A17" t="inlineStr">
        <is>
          <t>90th percentile</t>
        </is>
      </c>
      <c r="B17" s="9">
        <f>SQRT(M60*N60)</f>
        <v/>
      </c>
    </row>
    <row r="19">
      <c r="A19" s="2" t="inlineStr">
        <is>
          <t>Each quantile solved by bisection (block: low, high, probability above the midpoint)</t>
        </is>
      </c>
    </row>
    <row r="20">
      <c r="A20" s="3" t="inlineStr">
        <is>
          <t>Median (model target): low</t>
        </is>
      </c>
      <c r="B20" s="3" t="inlineStr">
        <is>
          <t>high</t>
        </is>
      </c>
      <c r="C20" s="3" t="inlineStr">
        <is>
          <t>P(above mid)</t>
        </is>
      </c>
      <c r="D20" s="3" t="inlineStr">
        <is>
          <t>10th percentile: low</t>
        </is>
      </c>
      <c r="E20" s="3" t="inlineStr">
        <is>
          <t>high</t>
        </is>
      </c>
      <c r="F20" s="3" t="inlineStr">
        <is>
          <t>P(above mid)</t>
        </is>
      </c>
      <c r="G20" s="3" t="inlineStr">
        <is>
          <t>25th percentile: low</t>
        </is>
      </c>
      <c r="H20" s="3" t="inlineStr">
        <is>
          <t>high</t>
        </is>
      </c>
      <c r="I20" s="3" t="inlineStr">
        <is>
          <t>P(above mid)</t>
        </is>
      </c>
      <c r="J20" s="3" t="inlineStr">
        <is>
          <t>75th percentile: low</t>
        </is>
      </c>
      <c r="K20" s="3" t="inlineStr">
        <is>
          <t>high</t>
        </is>
      </c>
      <c r="L20" s="3" t="inlineStr">
        <is>
          <t>P(above mid)</t>
        </is>
      </c>
      <c r="M20" s="3" t="inlineStr">
        <is>
          <t>90th percentile: low</t>
        </is>
      </c>
      <c r="N20" s="3" t="inlineStr">
        <is>
          <t>high</t>
        </is>
      </c>
      <c r="O20" s="3" t="inlineStr">
        <is>
          <t>P(above mid)</t>
        </is>
      </c>
    </row>
    <row r="21">
      <c r="A21" s="9">
        <f>MIN($C$4,$C$5,$C$6)*0.2</f>
        <v/>
      </c>
      <c r="B21" s="9">
        <f>MAX($C$4,$C$5,$C$6)*4</f>
        <v/>
      </c>
      <c r="C21" s="47">
        <f>SUMPRODUCT($B$4:$B$6,1-NORMSDIST((LN(SQRT(A21*B21))-LN($C$4:$C$6))/$B$9))</f>
        <v/>
      </c>
      <c r="D21" s="9">
        <f>MIN($C$4,$C$5,$C$6)*0.2</f>
        <v/>
      </c>
      <c r="E21" s="9">
        <f>MAX($C$4,$C$5,$C$6)*4</f>
        <v/>
      </c>
      <c r="F21" s="47">
        <f>SUMPRODUCT($B$4:$B$6,1-NORMSDIST((LN(SQRT(D21*E21))-LN($C$4:$C$6))/$B$9))</f>
        <v/>
      </c>
      <c r="G21" s="9">
        <f>MIN($C$4,$C$5,$C$6)*0.2</f>
        <v/>
      </c>
      <c r="H21" s="9">
        <f>MAX($C$4,$C$5,$C$6)*4</f>
        <v/>
      </c>
      <c r="I21" s="47">
        <f>SUMPRODUCT($B$4:$B$6,1-NORMSDIST((LN(SQRT(G21*H21))-LN($C$4:$C$6))/$B$9))</f>
        <v/>
      </c>
      <c r="J21" s="9">
        <f>MIN($C$4,$C$5,$C$6)*0.2</f>
        <v/>
      </c>
      <c r="K21" s="9">
        <f>MAX($C$4,$C$5,$C$6)*4</f>
        <v/>
      </c>
      <c r="L21" s="47">
        <f>SUMPRODUCT($B$4:$B$6,1-NORMSDIST((LN(SQRT(J21*K21))-LN($C$4:$C$6))/$B$9))</f>
        <v/>
      </c>
      <c r="M21" s="9">
        <f>MIN($C$4,$C$5,$C$6)*0.2</f>
        <v/>
      </c>
      <c r="N21" s="9">
        <f>MAX($C$4,$C$5,$C$6)*4</f>
        <v/>
      </c>
      <c r="O21" s="47">
        <f>SUMPRODUCT($B$4:$B$6,1-NORMSDIST((LN(SQRT(M21*N21))-LN($C$4:$C$6))/$B$9))</f>
        <v/>
      </c>
    </row>
    <row r="22">
      <c r="A22" s="9">
        <f>IF(C21&gt;0.5,SQRT(A21*B21),A21)</f>
        <v/>
      </c>
      <c r="B22" s="9">
        <f>IF(C21&gt;0.5,B21,SQRT(A21*B21))</f>
        <v/>
      </c>
      <c r="C22" s="47">
        <f>SUMPRODUCT($B$4:$B$6,1-NORMSDIST((LN(SQRT(A22*B22))-LN($C$4:$C$6))/$B$9))</f>
        <v/>
      </c>
      <c r="D22" s="9">
        <f>IF(F21&gt;0.9,SQRT(D21*E21),D21)</f>
        <v/>
      </c>
      <c r="E22" s="9">
        <f>IF(F21&gt;0.9,E21,SQRT(D21*E21))</f>
        <v/>
      </c>
      <c r="F22" s="47">
        <f>SUMPRODUCT($B$4:$B$6,1-NORMSDIST((LN(SQRT(D22*E22))-LN($C$4:$C$6))/$B$9))</f>
        <v/>
      </c>
      <c r="G22" s="9">
        <f>IF(I21&gt;0.75,SQRT(G21*H21),G21)</f>
        <v/>
      </c>
      <c r="H22" s="9">
        <f>IF(I21&gt;0.75,H21,SQRT(G21*H21))</f>
        <v/>
      </c>
      <c r="I22" s="47">
        <f>SUMPRODUCT($B$4:$B$6,1-NORMSDIST((LN(SQRT(G22*H22))-LN($C$4:$C$6))/$B$9))</f>
        <v/>
      </c>
      <c r="J22" s="9">
        <f>IF(L21&gt;0.25,SQRT(J21*K21),J21)</f>
        <v/>
      </c>
      <c r="K22" s="9">
        <f>IF(L21&gt;0.25,K21,SQRT(J21*K21))</f>
        <v/>
      </c>
      <c r="L22" s="47">
        <f>SUMPRODUCT($B$4:$B$6,1-NORMSDIST((LN(SQRT(J22*K22))-LN($C$4:$C$6))/$B$9))</f>
        <v/>
      </c>
      <c r="M22" s="9">
        <f>IF(O21&gt;0.09999999999999998,SQRT(M21*N21),M21)</f>
        <v/>
      </c>
      <c r="N22" s="9">
        <f>IF(O21&gt;0.09999999999999998,N21,SQRT(M21*N21))</f>
        <v/>
      </c>
      <c r="O22" s="47">
        <f>SUMPRODUCT($B$4:$B$6,1-NORMSDIST((LN(SQRT(M22*N22))-LN($C$4:$C$6))/$B$9))</f>
        <v/>
      </c>
    </row>
    <row r="23">
      <c r="A23" s="9">
        <f>IF(C22&gt;0.5,SQRT(A22*B22),A22)</f>
        <v/>
      </c>
      <c r="B23" s="9">
        <f>IF(C22&gt;0.5,B22,SQRT(A22*B22))</f>
        <v/>
      </c>
      <c r="C23" s="47">
        <f>SUMPRODUCT($B$4:$B$6,1-NORMSDIST((LN(SQRT(A23*B23))-LN($C$4:$C$6))/$B$9))</f>
        <v/>
      </c>
      <c r="D23" s="9">
        <f>IF(F22&gt;0.9,SQRT(D22*E22),D22)</f>
        <v/>
      </c>
      <c r="E23" s="9">
        <f>IF(F22&gt;0.9,E22,SQRT(D22*E22))</f>
        <v/>
      </c>
      <c r="F23" s="47">
        <f>SUMPRODUCT($B$4:$B$6,1-NORMSDIST((LN(SQRT(D23*E23))-LN($C$4:$C$6))/$B$9))</f>
        <v/>
      </c>
      <c r="G23" s="9">
        <f>IF(I22&gt;0.75,SQRT(G22*H22),G22)</f>
        <v/>
      </c>
      <c r="H23" s="9">
        <f>IF(I22&gt;0.75,H22,SQRT(G22*H22))</f>
        <v/>
      </c>
      <c r="I23" s="47">
        <f>SUMPRODUCT($B$4:$B$6,1-NORMSDIST((LN(SQRT(G23*H23))-LN($C$4:$C$6))/$B$9))</f>
        <v/>
      </c>
      <c r="J23" s="9">
        <f>IF(L22&gt;0.25,SQRT(J22*K22),J22)</f>
        <v/>
      </c>
      <c r="K23" s="9">
        <f>IF(L22&gt;0.25,K22,SQRT(J22*K22))</f>
        <v/>
      </c>
      <c r="L23" s="47">
        <f>SUMPRODUCT($B$4:$B$6,1-NORMSDIST((LN(SQRT(J23*K23))-LN($C$4:$C$6))/$B$9))</f>
        <v/>
      </c>
      <c r="M23" s="9">
        <f>IF(O22&gt;0.09999999999999998,SQRT(M22*N22),M22)</f>
        <v/>
      </c>
      <c r="N23" s="9">
        <f>IF(O22&gt;0.09999999999999998,N22,SQRT(M22*N22))</f>
        <v/>
      </c>
      <c r="O23" s="47">
        <f>SUMPRODUCT($B$4:$B$6,1-NORMSDIST((LN(SQRT(M23*N23))-LN($C$4:$C$6))/$B$9))</f>
        <v/>
      </c>
    </row>
    <row r="24">
      <c r="A24" s="9">
        <f>IF(C23&gt;0.5,SQRT(A23*B23),A23)</f>
        <v/>
      </c>
      <c r="B24" s="9">
        <f>IF(C23&gt;0.5,B23,SQRT(A23*B23))</f>
        <v/>
      </c>
      <c r="C24" s="47">
        <f>SUMPRODUCT($B$4:$B$6,1-NORMSDIST((LN(SQRT(A24*B24))-LN($C$4:$C$6))/$B$9))</f>
        <v/>
      </c>
      <c r="D24" s="9">
        <f>IF(F23&gt;0.9,SQRT(D23*E23),D23)</f>
        <v/>
      </c>
      <c r="E24" s="9">
        <f>IF(F23&gt;0.9,E23,SQRT(D23*E23))</f>
        <v/>
      </c>
      <c r="F24" s="47">
        <f>SUMPRODUCT($B$4:$B$6,1-NORMSDIST((LN(SQRT(D24*E24))-LN($C$4:$C$6))/$B$9))</f>
        <v/>
      </c>
      <c r="G24" s="9">
        <f>IF(I23&gt;0.75,SQRT(G23*H23),G23)</f>
        <v/>
      </c>
      <c r="H24" s="9">
        <f>IF(I23&gt;0.75,H23,SQRT(G23*H23))</f>
        <v/>
      </c>
      <c r="I24" s="47">
        <f>SUMPRODUCT($B$4:$B$6,1-NORMSDIST((LN(SQRT(G24*H24))-LN($C$4:$C$6))/$B$9))</f>
        <v/>
      </c>
      <c r="J24" s="9">
        <f>IF(L23&gt;0.25,SQRT(J23*K23),J23)</f>
        <v/>
      </c>
      <c r="K24" s="9">
        <f>IF(L23&gt;0.25,K23,SQRT(J23*K23))</f>
        <v/>
      </c>
      <c r="L24" s="47">
        <f>SUMPRODUCT($B$4:$B$6,1-NORMSDIST((LN(SQRT(J24*K24))-LN($C$4:$C$6))/$B$9))</f>
        <v/>
      </c>
      <c r="M24" s="9">
        <f>IF(O23&gt;0.09999999999999998,SQRT(M23*N23),M23)</f>
        <v/>
      </c>
      <c r="N24" s="9">
        <f>IF(O23&gt;0.09999999999999998,N23,SQRT(M23*N23))</f>
        <v/>
      </c>
      <c r="O24" s="47">
        <f>SUMPRODUCT($B$4:$B$6,1-NORMSDIST((LN(SQRT(M24*N24))-LN($C$4:$C$6))/$B$9))</f>
        <v/>
      </c>
    </row>
    <row r="25">
      <c r="A25" s="9">
        <f>IF(C24&gt;0.5,SQRT(A24*B24),A24)</f>
        <v/>
      </c>
      <c r="B25" s="9">
        <f>IF(C24&gt;0.5,B24,SQRT(A24*B24))</f>
        <v/>
      </c>
      <c r="C25" s="47">
        <f>SUMPRODUCT($B$4:$B$6,1-NORMSDIST((LN(SQRT(A25*B25))-LN($C$4:$C$6))/$B$9))</f>
        <v/>
      </c>
      <c r="D25" s="9">
        <f>IF(F24&gt;0.9,SQRT(D24*E24),D24)</f>
        <v/>
      </c>
      <c r="E25" s="9">
        <f>IF(F24&gt;0.9,E24,SQRT(D24*E24))</f>
        <v/>
      </c>
      <c r="F25" s="47">
        <f>SUMPRODUCT($B$4:$B$6,1-NORMSDIST((LN(SQRT(D25*E25))-LN($C$4:$C$6))/$B$9))</f>
        <v/>
      </c>
      <c r="G25" s="9">
        <f>IF(I24&gt;0.75,SQRT(G24*H24),G24)</f>
        <v/>
      </c>
      <c r="H25" s="9">
        <f>IF(I24&gt;0.75,H24,SQRT(G24*H24))</f>
        <v/>
      </c>
      <c r="I25" s="47">
        <f>SUMPRODUCT($B$4:$B$6,1-NORMSDIST((LN(SQRT(G25*H25))-LN($C$4:$C$6))/$B$9))</f>
        <v/>
      </c>
      <c r="J25" s="9">
        <f>IF(L24&gt;0.25,SQRT(J24*K24),J24)</f>
        <v/>
      </c>
      <c r="K25" s="9">
        <f>IF(L24&gt;0.25,K24,SQRT(J24*K24))</f>
        <v/>
      </c>
      <c r="L25" s="47">
        <f>SUMPRODUCT($B$4:$B$6,1-NORMSDIST((LN(SQRT(J25*K25))-LN($C$4:$C$6))/$B$9))</f>
        <v/>
      </c>
      <c r="M25" s="9">
        <f>IF(O24&gt;0.09999999999999998,SQRT(M24*N24),M24)</f>
        <v/>
      </c>
      <c r="N25" s="9">
        <f>IF(O24&gt;0.09999999999999998,N24,SQRT(M24*N24))</f>
        <v/>
      </c>
      <c r="O25" s="47">
        <f>SUMPRODUCT($B$4:$B$6,1-NORMSDIST((LN(SQRT(M25*N25))-LN($C$4:$C$6))/$B$9))</f>
        <v/>
      </c>
    </row>
    <row r="26">
      <c r="A26" s="9">
        <f>IF(C25&gt;0.5,SQRT(A25*B25),A25)</f>
        <v/>
      </c>
      <c r="B26" s="9">
        <f>IF(C25&gt;0.5,B25,SQRT(A25*B25))</f>
        <v/>
      </c>
      <c r="C26" s="47">
        <f>SUMPRODUCT($B$4:$B$6,1-NORMSDIST((LN(SQRT(A26*B26))-LN($C$4:$C$6))/$B$9))</f>
        <v/>
      </c>
      <c r="D26" s="9">
        <f>IF(F25&gt;0.9,SQRT(D25*E25),D25)</f>
        <v/>
      </c>
      <c r="E26" s="9">
        <f>IF(F25&gt;0.9,E25,SQRT(D25*E25))</f>
        <v/>
      </c>
      <c r="F26" s="47">
        <f>SUMPRODUCT($B$4:$B$6,1-NORMSDIST((LN(SQRT(D26*E26))-LN($C$4:$C$6))/$B$9))</f>
        <v/>
      </c>
      <c r="G26" s="9">
        <f>IF(I25&gt;0.75,SQRT(G25*H25),G25)</f>
        <v/>
      </c>
      <c r="H26" s="9">
        <f>IF(I25&gt;0.75,H25,SQRT(G25*H25))</f>
        <v/>
      </c>
      <c r="I26" s="47">
        <f>SUMPRODUCT($B$4:$B$6,1-NORMSDIST((LN(SQRT(G26*H26))-LN($C$4:$C$6))/$B$9))</f>
        <v/>
      </c>
      <c r="J26" s="9">
        <f>IF(L25&gt;0.25,SQRT(J25*K25),J25)</f>
        <v/>
      </c>
      <c r="K26" s="9">
        <f>IF(L25&gt;0.25,K25,SQRT(J25*K25))</f>
        <v/>
      </c>
      <c r="L26" s="47">
        <f>SUMPRODUCT($B$4:$B$6,1-NORMSDIST((LN(SQRT(J26*K26))-LN($C$4:$C$6))/$B$9))</f>
        <v/>
      </c>
      <c r="M26" s="9">
        <f>IF(O25&gt;0.09999999999999998,SQRT(M25*N25),M25)</f>
        <v/>
      </c>
      <c r="N26" s="9">
        <f>IF(O25&gt;0.09999999999999998,N25,SQRT(M25*N25))</f>
        <v/>
      </c>
      <c r="O26" s="47">
        <f>SUMPRODUCT($B$4:$B$6,1-NORMSDIST((LN(SQRT(M26*N26))-LN($C$4:$C$6))/$B$9))</f>
        <v/>
      </c>
    </row>
    <row r="27">
      <c r="A27" s="9">
        <f>IF(C26&gt;0.5,SQRT(A26*B26),A26)</f>
        <v/>
      </c>
      <c r="B27" s="9">
        <f>IF(C26&gt;0.5,B26,SQRT(A26*B26))</f>
        <v/>
      </c>
      <c r="C27" s="47">
        <f>SUMPRODUCT($B$4:$B$6,1-NORMSDIST((LN(SQRT(A27*B27))-LN($C$4:$C$6))/$B$9))</f>
        <v/>
      </c>
      <c r="D27" s="9">
        <f>IF(F26&gt;0.9,SQRT(D26*E26),D26)</f>
        <v/>
      </c>
      <c r="E27" s="9">
        <f>IF(F26&gt;0.9,E26,SQRT(D26*E26))</f>
        <v/>
      </c>
      <c r="F27" s="47">
        <f>SUMPRODUCT($B$4:$B$6,1-NORMSDIST((LN(SQRT(D27*E27))-LN($C$4:$C$6))/$B$9))</f>
        <v/>
      </c>
      <c r="G27" s="9">
        <f>IF(I26&gt;0.75,SQRT(G26*H26),G26)</f>
        <v/>
      </c>
      <c r="H27" s="9">
        <f>IF(I26&gt;0.75,H26,SQRT(G26*H26))</f>
        <v/>
      </c>
      <c r="I27" s="47">
        <f>SUMPRODUCT($B$4:$B$6,1-NORMSDIST((LN(SQRT(G27*H27))-LN($C$4:$C$6))/$B$9))</f>
        <v/>
      </c>
      <c r="J27" s="9">
        <f>IF(L26&gt;0.25,SQRT(J26*K26),J26)</f>
        <v/>
      </c>
      <c r="K27" s="9">
        <f>IF(L26&gt;0.25,K26,SQRT(J26*K26))</f>
        <v/>
      </c>
      <c r="L27" s="47">
        <f>SUMPRODUCT($B$4:$B$6,1-NORMSDIST((LN(SQRT(J27*K27))-LN($C$4:$C$6))/$B$9))</f>
        <v/>
      </c>
      <c r="M27" s="9">
        <f>IF(O26&gt;0.09999999999999998,SQRT(M26*N26),M26)</f>
        <v/>
      </c>
      <c r="N27" s="9">
        <f>IF(O26&gt;0.09999999999999998,N26,SQRT(M26*N26))</f>
        <v/>
      </c>
      <c r="O27" s="47">
        <f>SUMPRODUCT($B$4:$B$6,1-NORMSDIST((LN(SQRT(M27*N27))-LN($C$4:$C$6))/$B$9))</f>
        <v/>
      </c>
    </row>
    <row r="28">
      <c r="A28" s="9">
        <f>IF(C27&gt;0.5,SQRT(A27*B27),A27)</f>
        <v/>
      </c>
      <c r="B28" s="9">
        <f>IF(C27&gt;0.5,B27,SQRT(A27*B27))</f>
        <v/>
      </c>
      <c r="C28" s="47">
        <f>SUMPRODUCT($B$4:$B$6,1-NORMSDIST((LN(SQRT(A28*B28))-LN($C$4:$C$6))/$B$9))</f>
        <v/>
      </c>
      <c r="D28" s="9">
        <f>IF(F27&gt;0.9,SQRT(D27*E27),D27)</f>
        <v/>
      </c>
      <c r="E28" s="9">
        <f>IF(F27&gt;0.9,E27,SQRT(D27*E27))</f>
        <v/>
      </c>
      <c r="F28" s="47">
        <f>SUMPRODUCT($B$4:$B$6,1-NORMSDIST((LN(SQRT(D28*E28))-LN($C$4:$C$6))/$B$9))</f>
        <v/>
      </c>
      <c r="G28" s="9">
        <f>IF(I27&gt;0.75,SQRT(G27*H27),G27)</f>
        <v/>
      </c>
      <c r="H28" s="9">
        <f>IF(I27&gt;0.75,H27,SQRT(G27*H27))</f>
        <v/>
      </c>
      <c r="I28" s="47">
        <f>SUMPRODUCT($B$4:$B$6,1-NORMSDIST((LN(SQRT(G28*H28))-LN($C$4:$C$6))/$B$9))</f>
        <v/>
      </c>
      <c r="J28" s="9">
        <f>IF(L27&gt;0.25,SQRT(J27*K27),J27)</f>
        <v/>
      </c>
      <c r="K28" s="9">
        <f>IF(L27&gt;0.25,K27,SQRT(J27*K27))</f>
        <v/>
      </c>
      <c r="L28" s="47">
        <f>SUMPRODUCT($B$4:$B$6,1-NORMSDIST((LN(SQRT(J28*K28))-LN($C$4:$C$6))/$B$9))</f>
        <v/>
      </c>
      <c r="M28" s="9">
        <f>IF(O27&gt;0.09999999999999998,SQRT(M27*N27),M27)</f>
        <v/>
      </c>
      <c r="N28" s="9">
        <f>IF(O27&gt;0.09999999999999998,N27,SQRT(M27*N27))</f>
        <v/>
      </c>
      <c r="O28" s="47">
        <f>SUMPRODUCT($B$4:$B$6,1-NORMSDIST((LN(SQRT(M28*N28))-LN($C$4:$C$6))/$B$9))</f>
        <v/>
      </c>
    </row>
    <row r="29">
      <c r="A29" s="9">
        <f>IF(C28&gt;0.5,SQRT(A28*B28),A28)</f>
        <v/>
      </c>
      <c r="B29" s="9">
        <f>IF(C28&gt;0.5,B28,SQRT(A28*B28))</f>
        <v/>
      </c>
      <c r="C29" s="47">
        <f>SUMPRODUCT($B$4:$B$6,1-NORMSDIST((LN(SQRT(A29*B29))-LN($C$4:$C$6))/$B$9))</f>
        <v/>
      </c>
      <c r="D29" s="9">
        <f>IF(F28&gt;0.9,SQRT(D28*E28),D28)</f>
        <v/>
      </c>
      <c r="E29" s="9">
        <f>IF(F28&gt;0.9,E28,SQRT(D28*E28))</f>
        <v/>
      </c>
      <c r="F29" s="47">
        <f>SUMPRODUCT($B$4:$B$6,1-NORMSDIST((LN(SQRT(D29*E29))-LN($C$4:$C$6))/$B$9))</f>
        <v/>
      </c>
      <c r="G29" s="9">
        <f>IF(I28&gt;0.75,SQRT(G28*H28),G28)</f>
        <v/>
      </c>
      <c r="H29" s="9">
        <f>IF(I28&gt;0.75,H28,SQRT(G28*H28))</f>
        <v/>
      </c>
      <c r="I29" s="47">
        <f>SUMPRODUCT($B$4:$B$6,1-NORMSDIST((LN(SQRT(G29*H29))-LN($C$4:$C$6))/$B$9))</f>
        <v/>
      </c>
      <c r="J29" s="9">
        <f>IF(L28&gt;0.25,SQRT(J28*K28),J28)</f>
        <v/>
      </c>
      <c r="K29" s="9">
        <f>IF(L28&gt;0.25,K28,SQRT(J28*K28))</f>
        <v/>
      </c>
      <c r="L29" s="47">
        <f>SUMPRODUCT($B$4:$B$6,1-NORMSDIST((LN(SQRT(J29*K29))-LN($C$4:$C$6))/$B$9))</f>
        <v/>
      </c>
      <c r="M29" s="9">
        <f>IF(O28&gt;0.09999999999999998,SQRT(M28*N28),M28)</f>
        <v/>
      </c>
      <c r="N29" s="9">
        <f>IF(O28&gt;0.09999999999999998,N28,SQRT(M28*N28))</f>
        <v/>
      </c>
      <c r="O29" s="47">
        <f>SUMPRODUCT($B$4:$B$6,1-NORMSDIST((LN(SQRT(M29*N29))-LN($C$4:$C$6))/$B$9))</f>
        <v/>
      </c>
    </row>
    <row r="30">
      <c r="A30" s="9">
        <f>IF(C29&gt;0.5,SQRT(A29*B29),A29)</f>
        <v/>
      </c>
      <c r="B30" s="9">
        <f>IF(C29&gt;0.5,B29,SQRT(A29*B29))</f>
        <v/>
      </c>
      <c r="C30" s="47">
        <f>SUMPRODUCT($B$4:$B$6,1-NORMSDIST((LN(SQRT(A30*B30))-LN($C$4:$C$6))/$B$9))</f>
        <v/>
      </c>
      <c r="D30" s="9">
        <f>IF(F29&gt;0.9,SQRT(D29*E29),D29)</f>
        <v/>
      </c>
      <c r="E30" s="9">
        <f>IF(F29&gt;0.9,E29,SQRT(D29*E29))</f>
        <v/>
      </c>
      <c r="F30" s="47">
        <f>SUMPRODUCT($B$4:$B$6,1-NORMSDIST((LN(SQRT(D30*E30))-LN($C$4:$C$6))/$B$9))</f>
        <v/>
      </c>
      <c r="G30" s="9">
        <f>IF(I29&gt;0.75,SQRT(G29*H29),G29)</f>
        <v/>
      </c>
      <c r="H30" s="9">
        <f>IF(I29&gt;0.75,H29,SQRT(G29*H29))</f>
        <v/>
      </c>
      <c r="I30" s="47">
        <f>SUMPRODUCT($B$4:$B$6,1-NORMSDIST((LN(SQRT(G30*H30))-LN($C$4:$C$6))/$B$9))</f>
        <v/>
      </c>
      <c r="J30" s="9">
        <f>IF(L29&gt;0.25,SQRT(J29*K29),J29)</f>
        <v/>
      </c>
      <c r="K30" s="9">
        <f>IF(L29&gt;0.25,K29,SQRT(J29*K29))</f>
        <v/>
      </c>
      <c r="L30" s="47">
        <f>SUMPRODUCT($B$4:$B$6,1-NORMSDIST((LN(SQRT(J30*K30))-LN($C$4:$C$6))/$B$9))</f>
        <v/>
      </c>
      <c r="M30" s="9">
        <f>IF(O29&gt;0.09999999999999998,SQRT(M29*N29),M29)</f>
        <v/>
      </c>
      <c r="N30" s="9">
        <f>IF(O29&gt;0.09999999999999998,N29,SQRT(M29*N29))</f>
        <v/>
      </c>
      <c r="O30" s="47">
        <f>SUMPRODUCT($B$4:$B$6,1-NORMSDIST((LN(SQRT(M30*N30))-LN($C$4:$C$6))/$B$9))</f>
        <v/>
      </c>
    </row>
    <row r="31">
      <c r="A31" s="9">
        <f>IF(C30&gt;0.5,SQRT(A30*B30),A30)</f>
        <v/>
      </c>
      <c r="B31" s="9">
        <f>IF(C30&gt;0.5,B30,SQRT(A30*B30))</f>
        <v/>
      </c>
      <c r="C31" s="47">
        <f>SUMPRODUCT($B$4:$B$6,1-NORMSDIST((LN(SQRT(A31*B31))-LN($C$4:$C$6))/$B$9))</f>
        <v/>
      </c>
      <c r="D31" s="9">
        <f>IF(F30&gt;0.9,SQRT(D30*E30),D30)</f>
        <v/>
      </c>
      <c r="E31" s="9">
        <f>IF(F30&gt;0.9,E30,SQRT(D30*E30))</f>
        <v/>
      </c>
      <c r="F31" s="47">
        <f>SUMPRODUCT($B$4:$B$6,1-NORMSDIST((LN(SQRT(D31*E31))-LN($C$4:$C$6))/$B$9))</f>
        <v/>
      </c>
      <c r="G31" s="9">
        <f>IF(I30&gt;0.75,SQRT(G30*H30),G30)</f>
        <v/>
      </c>
      <c r="H31" s="9">
        <f>IF(I30&gt;0.75,H30,SQRT(G30*H30))</f>
        <v/>
      </c>
      <c r="I31" s="47">
        <f>SUMPRODUCT($B$4:$B$6,1-NORMSDIST((LN(SQRT(G31*H31))-LN($C$4:$C$6))/$B$9))</f>
        <v/>
      </c>
      <c r="J31" s="9">
        <f>IF(L30&gt;0.25,SQRT(J30*K30),J30)</f>
        <v/>
      </c>
      <c r="K31" s="9">
        <f>IF(L30&gt;0.25,K30,SQRT(J30*K30))</f>
        <v/>
      </c>
      <c r="L31" s="47">
        <f>SUMPRODUCT($B$4:$B$6,1-NORMSDIST((LN(SQRT(J31*K31))-LN($C$4:$C$6))/$B$9))</f>
        <v/>
      </c>
      <c r="M31" s="9">
        <f>IF(O30&gt;0.09999999999999998,SQRT(M30*N30),M30)</f>
        <v/>
      </c>
      <c r="N31" s="9">
        <f>IF(O30&gt;0.09999999999999998,N30,SQRT(M30*N30))</f>
        <v/>
      </c>
      <c r="O31" s="47">
        <f>SUMPRODUCT($B$4:$B$6,1-NORMSDIST((LN(SQRT(M31*N31))-LN($C$4:$C$6))/$B$9))</f>
        <v/>
      </c>
    </row>
    <row r="32">
      <c r="A32" s="9">
        <f>IF(C31&gt;0.5,SQRT(A31*B31),A31)</f>
        <v/>
      </c>
      <c r="B32" s="9">
        <f>IF(C31&gt;0.5,B31,SQRT(A31*B31))</f>
        <v/>
      </c>
      <c r="C32" s="47">
        <f>SUMPRODUCT($B$4:$B$6,1-NORMSDIST((LN(SQRT(A32*B32))-LN($C$4:$C$6))/$B$9))</f>
        <v/>
      </c>
      <c r="D32" s="9">
        <f>IF(F31&gt;0.9,SQRT(D31*E31),D31)</f>
        <v/>
      </c>
      <c r="E32" s="9">
        <f>IF(F31&gt;0.9,E31,SQRT(D31*E31))</f>
        <v/>
      </c>
      <c r="F32" s="47">
        <f>SUMPRODUCT($B$4:$B$6,1-NORMSDIST((LN(SQRT(D32*E32))-LN($C$4:$C$6))/$B$9))</f>
        <v/>
      </c>
      <c r="G32" s="9">
        <f>IF(I31&gt;0.75,SQRT(G31*H31),G31)</f>
        <v/>
      </c>
      <c r="H32" s="9">
        <f>IF(I31&gt;0.75,H31,SQRT(G31*H31))</f>
        <v/>
      </c>
      <c r="I32" s="47">
        <f>SUMPRODUCT($B$4:$B$6,1-NORMSDIST((LN(SQRT(G32*H32))-LN($C$4:$C$6))/$B$9))</f>
        <v/>
      </c>
      <c r="J32" s="9">
        <f>IF(L31&gt;0.25,SQRT(J31*K31),J31)</f>
        <v/>
      </c>
      <c r="K32" s="9">
        <f>IF(L31&gt;0.25,K31,SQRT(J31*K31))</f>
        <v/>
      </c>
      <c r="L32" s="47">
        <f>SUMPRODUCT($B$4:$B$6,1-NORMSDIST((LN(SQRT(J32*K32))-LN($C$4:$C$6))/$B$9))</f>
        <v/>
      </c>
      <c r="M32" s="9">
        <f>IF(O31&gt;0.09999999999999998,SQRT(M31*N31),M31)</f>
        <v/>
      </c>
      <c r="N32" s="9">
        <f>IF(O31&gt;0.09999999999999998,N31,SQRT(M31*N31))</f>
        <v/>
      </c>
      <c r="O32" s="47">
        <f>SUMPRODUCT($B$4:$B$6,1-NORMSDIST((LN(SQRT(M32*N32))-LN($C$4:$C$6))/$B$9))</f>
        <v/>
      </c>
    </row>
    <row r="33">
      <c r="A33" s="9">
        <f>IF(C32&gt;0.5,SQRT(A32*B32),A32)</f>
        <v/>
      </c>
      <c r="B33" s="9">
        <f>IF(C32&gt;0.5,B32,SQRT(A32*B32))</f>
        <v/>
      </c>
      <c r="C33" s="47">
        <f>SUMPRODUCT($B$4:$B$6,1-NORMSDIST((LN(SQRT(A33*B33))-LN($C$4:$C$6))/$B$9))</f>
        <v/>
      </c>
      <c r="D33" s="9">
        <f>IF(F32&gt;0.9,SQRT(D32*E32),D32)</f>
        <v/>
      </c>
      <c r="E33" s="9">
        <f>IF(F32&gt;0.9,E32,SQRT(D32*E32))</f>
        <v/>
      </c>
      <c r="F33" s="47">
        <f>SUMPRODUCT($B$4:$B$6,1-NORMSDIST((LN(SQRT(D33*E33))-LN($C$4:$C$6))/$B$9))</f>
        <v/>
      </c>
      <c r="G33" s="9">
        <f>IF(I32&gt;0.75,SQRT(G32*H32),G32)</f>
        <v/>
      </c>
      <c r="H33" s="9">
        <f>IF(I32&gt;0.75,H32,SQRT(G32*H32))</f>
        <v/>
      </c>
      <c r="I33" s="47">
        <f>SUMPRODUCT($B$4:$B$6,1-NORMSDIST((LN(SQRT(G33*H33))-LN($C$4:$C$6))/$B$9))</f>
        <v/>
      </c>
      <c r="J33" s="9">
        <f>IF(L32&gt;0.25,SQRT(J32*K32),J32)</f>
        <v/>
      </c>
      <c r="K33" s="9">
        <f>IF(L32&gt;0.25,K32,SQRT(J32*K32))</f>
        <v/>
      </c>
      <c r="L33" s="47">
        <f>SUMPRODUCT($B$4:$B$6,1-NORMSDIST((LN(SQRT(J33*K33))-LN($C$4:$C$6))/$B$9))</f>
        <v/>
      </c>
      <c r="M33" s="9">
        <f>IF(O32&gt;0.09999999999999998,SQRT(M32*N32),M32)</f>
        <v/>
      </c>
      <c r="N33" s="9">
        <f>IF(O32&gt;0.09999999999999998,N32,SQRT(M32*N32))</f>
        <v/>
      </c>
      <c r="O33" s="47">
        <f>SUMPRODUCT($B$4:$B$6,1-NORMSDIST((LN(SQRT(M33*N33))-LN($C$4:$C$6))/$B$9))</f>
        <v/>
      </c>
    </row>
    <row r="34">
      <c r="A34" s="9">
        <f>IF(C33&gt;0.5,SQRT(A33*B33),A33)</f>
        <v/>
      </c>
      <c r="B34" s="9">
        <f>IF(C33&gt;0.5,B33,SQRT(A33*B33))</f>
        <v/>
      </c>
      <c r="C34" s="47">
        <f>SUMPRODUCT($B$4:$B$6,1-NORMSDIST((LN(SQRT(A34*B34))-LN($C$4:$C$6))/$B$9))</f>
        <v/>
      </c>
      <c r="D34" s="9">
        <f>IF(F33&gt;0.9,SQRT(D33*E33),D33)</f>
        <v/>
      </c>
      <c r="E34" s="9">
        <f>IF(F33&gt;0.9,E33,SQRT(D33*E33))</f>
        <v/>
      </c>
      <c r="F34" s="47">
        <f>SUMPRODUCT($B$4:$B$6,1-NORMSDIST((LN(SQRT(D34*E34))-LN($C$4:$C$6))/$B$9))</f>
        <v/>
      </c>
      <c r="G34" s="9">
        <f>IF(I33&gt;0.75,SQRT(G33*H33),G33)</f>
        <v/>
      </c>
      <c r="H34" s="9">
        <f>IF(I33&gt;0.75,H33,SQRT(G33*H33))</f>
        <v/>
      </c>
      <c r="I34" s="47">
        <f>SUMPRODUCT($B$4:$B$6,1-NORMSDIST((LN(SQRT(G34*H34))-LN($C$4:$C$6))/$B$9))</f>
        <v/>
      </c>
      <c r="J34" s="9">
        <f>IF(L33&gt;0.25,SQRT(J33*K33),J33)</f>
        <v/>
      </c>
      <c r="K34" s="9">
        <f>IF(L33&gt;0.25,K33,SQRT(J33*K33))</f>
        <v/>
      </c>
      <c r="L34" s="47">
        <f>SUMPRODUCT($B$4:$B$6,1-NORMSDIST((LN(SQRT(J34*K34))-LN($C$4:$C$6))/$B$9))</f>
        <v/>
      </c>
      <c r="M34" s="9">
        <f>IF(O33&gt;0.09999999999999998,SQRT(M33*N33),M33)</f>
        <v/>
      </c>
      <c r="N34" s="9">
        <f>IF(O33&gt;0.09999999999999998,N33,SQRT(M33*N33))</f>
        <v/>
      </c>
      <c r="O34" s="47">
        <f>SUMPRODUCT($B$4:$B$6,1-NORMSDIST((LN(SQRT(M34*N34))-LN($C$4:$C$6))/$B$9))</f>
        <v/>
      </c>
    </row>
    <row r="35">
      <c r="A35" s="9">
        <f>IF(C34&gt;0.5,SQRT(A34*B34),A34)</f>
        <v/>
      </c>
      <c r="B35" s="9">
        <f>IF(C34&gt;0.5,B34,SQRT(A34*B34))</f>
        <v/>
      </c>
      <c r="C35" s="47">
        <f>SUMPRODUCT($B$4:$B$6,1-NORMSDIST((LN(SQRT(A35*B35))-LN($C$4:$C$6))/$B$9))</f>
        <v/>
      </c>
      <c r="D35" s="9">
        <f>IF(F34&gt;0.9,SQRT(D34*E34),D34)</f>
        <v/>
      </c>
      <c r="E35" s="9">
        <f>IF(F34&gt;0.9,E34,SQRT(D34*E34))</f>
        <v/>
      </c>
      <c r="F35" s="47">
        <f>SUMPRODUCT($B$4:$B$6,1-NORMSDIST((LN(SQRT(D35*E35))-LN($C$4:$C$6))/$B$9))</f>
        <v/>
      </c>
      <c r="G35" s="9">
        <f>IF(I34&gt;0.75,SQRT(G34*H34),G34)</f>
        <v/>
      </c>
      <c r="H35" s="9">
        <f>IF(I34&gt;0.75,H34,SQRT(G34*H34))</f>
        <v/>
      </c>
      <c r="I35" s="47">
        <f>SUMPRODUCT($B$4:$B$6,1-NORMSDIST((LN(SQRT(G35*H35))-LN($C$4:$C$6))/$B$9))</f>
        <v/>
      </c>
      <c r="J35" s="9">
        <f>IF(L34&gt;0.25,SQRT(J34*K34),J34)</f>
        <v/>
      </c>
      <c r="K35" s="9">
        <f>IF(L34&gt;0.25,K34,SQRT(J34*K34))</f>
        <v/>
      </c>
      <c r="L35" s="47">
        <f>SUMPRODUCT($B$4:$B$6,1-NORMSDIST((LN(SQRT(J35*K35))-LN($C$4:$C$6))/$B$9))</f>
        <v/>
      </c>
      <c r="M35" s="9">
        <f>IF(O34&gt;0.09999999999999998,SQRT(M34*N34),M34)</f>
        <v/>
      </c>
      <c r="N35" s="9">
        <f>IF(O34&gt;0.09999999999999998,N34,SQRT(M34*N34))</f>
        <v/>
      </c>
      <c r="O35" s="47">
        <f>SUMPRODUCT($B$4:$B$6,1-NORMSDIST((LN(SQRT(M35*N35))-LN($C$4:$C$6))/$B$9))</f>
        <v/>
      </c>
    </row>
    <row r="36">
      <c r="A36" s="9">
        <f>IF(C35&gt;0.5,SQRT(A35*B35),A35)</f>
        <v/>
      </c>
      <c r="B36" s="9">
        <f>IF(C35&gt;0.5,B35,SQRT(A35*B35))</f>
        <v/>
      </c>
      <c r="C36" s="47">
        <f>SUMPRODUCT($B$4:$B$6,1-NORMSDIST((LN(SQRT(A36*B36))-LN($C$4:$C$6))/$B$9))</f>
        <v/>
      </c>
      <c r="D36" s="9">
        <f>IF(F35&gt;0.9,SQRT(D35*E35),D35)</f>
        <v/>
      </c>
      <c r="E36" s="9">
        <f>IF(F35&gt;0.9,E35,SQRT(D35*E35))</f>
        <v/>
      </c>
      <c r="F36" s="47">
        <f>SUMPRODUCT($B$4:$B$6,1-NORMSDIST((LN(SQRT(D36*E36))-LN($C$4:$C$6))/$B$9))</f>
        <v/>
      </c>
      <c r="G36" s="9">
        <f>IF(I35&gt;0.75,SQRT(G35*H35),G35)</f>
        <v/>
      </c>
      <c r="H36" s="9">
        <f>IF(I35&gt;0.75,H35,SQRT(G35*H35))</f>
        <v/>
      </c>
      <c r="I36" s="47">
        <f>SUMPRODUCT($B$4:$B$6,1-NORMSDIST((LN(SQRT(G36*H36))-LN($C$4:$C$6))/$B$9))</f>
        <v/>
      </c>
      <c r="J36" s="9">
        <f>IF(L35&gt;0.25,SQRT(J35*K35),J35)</f>
        <v/>
      </c>
      <c r="K36" s="9">
        <f>IF(L35&gt;0.25,K35,SQRT(J35*K35))</f>
        <v/>
      </c>
      <c r="L36" s="47">
        <f>SUMPRODUCT($B$4:$B$6,1-NORMSDIST((LN(SQRT(J36*K36))-LN($C$4:$C$6))/$B$9))</f>
        <v/>
      </c>
      <c r="M36" s="9">
        <f>IF(O35&gt;0.09999999999999998,SQRT(M35*N35),M35)</f>
        <v/>
      </c>
      <c r="N36" s="9">
        <f>IF(O35&gt;0.09999999999999998,N35,SQRT(M35*N35))</f>
        <v/>
      </c>
      <c r="O36" s="47">
        <f>SUMPRODUCT($B$4:$B$6,1-NORMSDIST((LN(SQRT(M36*N36))-LN($C$4:$C$6))/$B$9))</f>
        <v/>
      </c>
    </row>
    <row r="37">
      <c r="A37" s="9">
        <f>IF(C36&gt;0.5,SQRT(A36*B36),A36)</f>
        <v/>
      </c>
      <c r="B37" s="9">
        <f>IF(C36&gt;0.5,B36,SQRT(A36*B36))</f>
        <v/>
      </c>
      <c r="C37" s="47">
        <f>SUMPRODUCT($B$4:$B$6,1-NORMSDIST((LN(SQRT(A37*B37))-LN($C$4:$C$6))/$B$9))</f>
        <v/>
      </c>
      <c r="D37" s="9">
        <f>IF(F36&gt;0.9,SQRT(D36*E36),D36)</f>
        <v/>
      </c>
      <c r="E37" s="9">
        <f>IF(F36&gt;0.9,E36,SQRT(D36*E36))</f>
        <v/>
      </c>
      <c r="F37" s="47">
        <f>SUMPRODUCT($B$4:$B$6,1-NORMSDIST((LN(SQRT(D37*E37))-LN($C$4:$C$6))/$B$9))</f>
        <v/>
      </c>
      <c r="G37" s="9">
        <f>IF(I36&gt;0.75,SQRT(G36*H36),G36)</f>
        <v/>
      </c>
      <c r="H37" s="9">
        <f>IF(I36&gt;0.75,H36,SQRT(G36*H36))</f>
        <v/>
      </c>
      <c r="I37" s="47">
        <f>SUMPRODUCT($B$4:$B$6,1-NORMSDIST((LN(SQRT(G37*H37))-LN($C$4:$C$6))/$B$9))</f>
        <v/>
      </c>
      <c r="J37" s="9">
        <f>IF(L36&gt;0.25,SQRT(J36*K36),J36)</f>
        <v/>
      </c>
      <c r="K37" s="9">
        <f>IF(L36&gt;0.25,K36,SQRT(J36*K36))</f>
        <v/>
      </c>
      <c r="L37" s="47">
        <f>SUMPRODUCT($B$4:$B$6,1-NORMSDIST((LN(SQRT(J37*K37))-LN($C$4:$C$6))/$B$9))</f>
        <v/>
      </c>
      <c r="M37" s="9">
        <f>IF(O36&gt;0.09999999999999998,SQRT(M36*N36),M36)</f>
        <v/>
      </c>
      <c r="N37" s="9">
        <f>IF(O36&gt;0.09999999999999998,N36,SQRT(M36*N36))</f>
        <v/>
      </c>
      <c r="O37" s="47">
        <f>SUMPRODUCT($B$4:$B$6,1-NORMSDIST((LN(SQRT(M37*N37))-LN($C$4:$C$6))/$B$9))</f>
        <v/>
      </c>
    </row>
    <row r="38">
      <c r="A38" s="9">
        <f>IF(C37&gt;0.5,SQRT(A37*B37),A37)</f>
        <v/>
      </c>
      <c r="B38" s="9">
        <f>IF(C37&gt;0.5,B37,SQRT(A37*B37))</f>
        <v/>
      </c>
      <c r="C38" s="47">
        <f>SUMPRODUCT($B$4:$B$6,1-NORMSDIST((LN(SQRT(A38*B38))-LN($C$4:$C$6))/$B$9))</f>
        <v/>
      </c>
      <c r="D38" s="9">
        <f>IF(F37&gt;0.9,SQRT(D37*E37),D37)</f>
        <v/>
      </c>
      <c r="E38" s="9">
        <f>IF(F37&gt;0.9,E37,SQRT(D37*E37))</f>
        <v/>
      </c>
      <c r="F38" s="47">
        <f>SUMPRODUCT($B$4:$B$6,1-NORMSDIST((LN(SQRT(D38*E38))-LN($C$4:$C$6))/$B$9))</f>
        <v/>
      </c>
      <c r="G38" s="9">
        <f>IF(I37&gt;0.75,SQRT(G37*H37),G37)</f>
        <v/>
      </c>
      <c r="H38" s="9">
        <f>IF(I37&gt;0.75,H37,SQRT(G37*H37))</f>
        <v/>
      </c>
      <c r="I38" s="47">
        <f>SUMPRODUCT($B$4:$B$6,1-NORMSDIST((LN(SQRT(G38*H38))-LN($C$4:$C$6))/$B$9))</f>
        <v/>
      </c>
      <c r="J38" s="9">
        <f>IF(L37&gt;0.25,SQRT(J37*K37),J37)</f>
        <v/>
      </c>
      <c r="K38" s="9">
        <f>IF(L37&gt;0.25,K37,SQRT(J37*K37))</f>
        <v/>
      </c>
      <c r="L38" s="47">
        <f>SUMPRODUCT($B$4:$B$6,1-NORMSDIST((LN(SQRT(J38*K38))-LN($C$4:$C$6))/$B$9))</f>
        <v/>
      </c>
      <c r="M38" s="9">
        <f>IF(O37&gt;0.09999999999999998,SQRT(M37*N37),M37)</f>
        <v/>
      </c>
      <c r="N38" s="9">
        <f>IF(O37&gt;0.09999999999999998,N37,SQRT(M37*N37))</f>
        <v/>
      </c>
      <c r="O38" s="47">
        <f>SUMPRODUCT($B$4:$B$6,1-NORMSDIST((LN(SQRT(M38*N38))-LN($C$4:$C$6))/$B$9))</f>
        <v/>
      </c>
    </row>
    <row r="39">
      <c r="A39" s="9">
        <f>IF(C38&gt;0.5,SQRT(A38*B38),A38)</f>
        <v/>
      </c>
      <c r="B39" s="9">
        <f>IF(C38&gt;0.5,B38,SQRT(A38*B38))</f>
        <v/>
      </c>
      <c r="C39" s="47">
        <f>SUMPRODUCT($B$4:$B$6,1-NORMSDIST((LN(SQRT(A39*B39))-LN($C$4:$C$6))/$B$9))</f>
        <v/>
      </c>
      <c r="D39" s="9">
        <f>IF(F38&gt;0.9,SQRT(D38*E38),D38)</f>
        <v/>
      </c>
      <c r="E39" s="9">
        <f>IF(F38&gt;0.9,E38,SQRT(D38*E38))</f>
        <v/>
      </c>
      <c r="F39" s="47">
        <f>SUMPRODUCT($B$4:$B$6,1-NORMSDIST((LN(SQRT(D39*E39))-LN($C$4:$C$6))/$B$9))</f>
        <v/>
      </c>
      <c r="G39" s="9">
        <f>IF(I38&gt;0.75,SQRT(G38*H38),G38)</f>
        <v/>
      </c>
      <c r="H39" s="9">
        <f>IF(I38&gt;0.75,H38,SQRT(G38*H38))</f>
        <v/>
      </c>
      <c r="I39" s="47">
        <f>SUMPRODUCT($B$4:$B$6,1-NORMSDIST((LN(SQRT(G39*H39))-LN($C$4:$C$6))/$B$9))</f>
        <v/>
      </c>
      <c r="J39" s="9">
        <f>IF(L38&gt;0.25,SQRT(J38*K38),J38)</f>
        <v/>
      </c>
      <c r="K39" s="9">
        <f>IF(L38&gt;0.25,K38,SQRT(J38*K38))</f>
        <v/>
      </c>
      <c r="L39" s="47">
        <f>SUMPRODUCT($B$4:$B$6,1-NORMSDIST((LN(SQRT(J39*K39))-LN($C$4:$C$6))/$B$9))</f>
        <v/>
      </c>
      <c r="M39" s="9">
        <f>IF(O38&gt;0.09999999999999998,SQRT(M38*N38),M38)</f>
        <v/>
      </c>
      <c r="N39" s="9">
        <f>IF(O38&gt;0.09999999999999998,N38,SQRT(M38*N38))</f>
        <v/>
      </c>
      <c r="O39" s="47">
        <f>SUMPRODUCT($B$4:$B$6,1-NORMSDIST((LN(SQRT(M39*N39))-LN($C$4:$C$6))/$B$9))</f>
        <v/>
      </c>
    </row>
    <row r="40">
      <c r="A40" s="9">
        <f>IF(C39&gt;0.5,SQRT(A39*B39),A39)</f>
        <v/>
      </c>
      <c r="B40" s="9">
        <f>IF(C39&gt;0.5,B39,SQRT(A39*B39))</f>
        <v/>
      </c>
      <c r="C40" s="47">
        <f>SUMPRODUCT($B$4:$B$6,1-NORMSDIST((LN(SQRT(A40*B40))-LN($C$4:$C$6))/$B$9))</f>
        <v/>
      </c>
      <c r="D40" s="9">
        <f>IF(F39&gt;0.9,SQRT(D39*E39),D39)</f>
        <v/>
      </c>
      <c r="E40" s="9">
        <f>IF(F39&gt;0.9,E39,SQRT(D39*E39))</f>
        <v/>
      </c>
      <c r="F40" s="47">
        <f>SUMPRODUCT($B$4:$B$6,1-NORMSDIST((LN(SQRT(D40*E40))-LN($C$4:$C$6))/$B$9))</f>
        <v/>
      </c>
      <c r="G40" s="9">
        <f>IF(I39&gt;0.75,SQRT(G39*H39),G39)</f>
        <v/>
      </c>
      <c r="H40" s="9">
        <f>IF(I39&gt;0.75,H39,SQRT(G39*H39))</f>
        <v/>
      </c>
      <c r="I40" s="47">
        <f>SUMPRODUCT($B$4:$B$6,1-NORMSDIST((LN(SQRT(G40*H40))-LN($C$4:$C$6))/$B$9))</f>
        <v/>
      </c>
      <c r="J40" s="9">
        <f>IF(L39&gt;0.25,SQRT(J39*K39),J39)</f>
        <v/>
      </c>
      <c r="K40" s="9">
        <f>IF(L39&gt;0.25,K39,SQRT(J39*K39))</f>
        <v/>
      </c>
      <c r="L40" s="47">
        <f>SUMPRODUCT($B$4:$B$6,1-NORMSDIST((LN(SQRT(J40*K40))-LN($C$4:$C$6))/$B$9))</f>
        <v/>
      </c>
      <c r="M40" s="9">
        <f>IF(O39&gt;0.09999999999999998,SQRT(M39*N39),M39)</f>
        <v/>
      </c>
      <c r="N40" s="9">
        <f>IF(O39&gt;0.09999999999999998,N39,SQRT(M39*N39))</f>
        <v/>
      </c>
      <c r="O40" s="47">
        <f>SUMPRODUCT($B$4:$B$6,1-NORMSDIST((LN(SQRT(M40*N40))-LN($C$4:$C$6))/$B$9))</f>
        <v/>
      </c>
    </row>
    <row r="41">
      <c r="A41" s="9">
        <f>IF(C40&gt;0.5,SQRT(A40*B40),A40)</f>
        <v/>
      </c>
      <c r="B41" s="9">
        <f>IF(C40&gt;0.5,B40,SQRT(A40*B40))</f>
        <v/>
      </c>
      <c r="C41" s="47">
        <f>SUMPRODUCT($B$4:$B$6,1-NORMSDIST((LN(SQRT(A41*B41))-LN($C$4:$C$6))/$B$9))</f>
        <v/>
      </c>
      <c r="D41" s="9">
        <f>IF(F40&gt;0.9,SQRT(D40*E40),D40)</f>
        <v/>
      </c>
      <c r="E41" s="9">
        <f>IF(F40&gt;0.9,E40,SQRT(D40*E40))</f>
        <v/>
      </c>
      <c r="F41" s="47">
        <f>SUMPRODUCT($B$4:$B$6,1-NORMSDIST((LN(SQRT(D41*E41))-LN($C$4:$C$6))/$B$9))</f>
        <v/>
      </c>
      <c r="G41" s="9">
        <f>IF(I40&gt;0.75,SQRT(G40*H40),G40)</f>
        <v/>
      </c>
      <c r="H41" s="9">
        <f>IF(I40&gt;0.75,H40,SQRT(G40*H40))</f>
        <v/>
      </c>
      <c r="I41" s="47">
        <f>SUMPRODUCT($B$4:$B$6,1-NORMSDIST((LN(SQRT(G41*H41))-LN($C$4:$C$6))/$B$9))</f>
        <v/>
      </c>
      <c r="J41" s="9">
        <f>IF(L40&gt;0.25,SQRT(J40*K40),J40)</f>
        <v/>
      </c>
      <c r="K41" s="9">
        <f>IF(L40&gt;0.25,K40,SQRT(J40*K40))</f>
        <v/>
      </c>
      <c r="L41" s="47">
        <f>SUMPRODUCT($B$4:$B$6,1-NORMSDIST((LN(SQRT(J41*K41))-LN($C$4:$C$6))/$B$9))</f>
        <v/>
      </c>
      <c r="M41" s="9">
        <f>IF(O40&gt;0.09999999999999998,SQRT(M40*N40),M40)</f>
        <v/>
      </c>
      <c r="N41" s="9">
        <f>IF(O40&gt;0.09999999999999998,N40,SQRT(M40*N40))</f>
        <v/>
      </c>
      <c r="O41" s="47">
        <f>SUMPRODUCT($B$4:$B$6,1-NORMSDIST((LN(SQRT(M41*N41))-LN($C$4:$C$6))/$B$9))</f>
        <v/>
      </c>
    </row>
    <row r="42">
      <c r="A42" s="9">
        <f>IF(C41&gt;0.5,SQRT(A41*B41),A41)</f>
        <v/>
      </c>
      <c r="B42" s="9">
        <f>IF(C41&gt;0.5,B41,SQRT(A41*B41))</f>
        <v/>
      </c>
      <c r="C42" s="47">
        <f>SUMPRODUCT($B$4:$B$6,1-NORMSDIST((LN(SQRT(A42*B42))-LN($C$4:$C$6))/$B$9))</f>
        <v/>
      </c>
      <c r="D42" s="9">
        <f>IF(F41&gt;0.9,SQRT(D41*E41),D41)</f>
        <v/>
      </c>
      <c r="E42" s="9">
        <f>IF(F41&gt;0.9,E41,SQRT(D41*E41))</f>
        <v/>
      </c>
      <c r="F42" s="47">
        <f>SUMPRODUCT($B$4:$B$6,1-NORMSDIST((LN(SQRT(D42*E42))-LN($C$4:$C$6))/$B$9))</f>
        <v/>
      </c>
      <c r="G42" s="9">
        <f>IF(I41&gt;0.75,SQRT(G41*H41),G41)</f>
        <v/>
      </c>
      <c r="H42" s="9">
        <f>IF(I41&gt;0.75,H41,SQRT(G41*H41))</f>
        <v/>
      </c>
      <c r="I42" s="47">
        <f>SUMPRODUCT($B$4:$B$6,1-NORMSDIST((LN(SQRT(G42*H42))-LN($C$4:$C$6))/$B$9))</f>
        <v/>
      </c>
      <c r="J42" s="9">
        <f>IF(L41&gt;0.25,SQRT(J41*K41),J41)</f>
        <v/>
      </c>
      <c r="K42" s="9">
        <f>IF(L41&gt;0.25,K41,SQRT(J41*K41))</f>
        <v/>
      </c>
      <c r="L42" s="47">
        <f>SUMPRODUCT($B$4:$B$6,1-NORMSDIST((LN(SQRT(J42*K42))-LN($C$4:$C$6))/$B$9))</f>
        <v/>
      </c>
      <c r="M42" s="9">
        <f>IF(O41&gt;0.09999999999999998,SQRT(M41*N41),M41)</f>
        <v/>
      </c>
      <c r="N42" s="9">
        <f>IF(O41&gt;0.09999999999999998,N41,SQRT(M41*N41))</f>
        <v/>
      </c>
      <c r="O42" s="47">
        <f>SUMPRODUCT($B$4:$B$6,1-NORMSDIST((LN(SQRT(M42*N42))-LN($C$4:$C$6))/$B$9))</f>
        <v/>
      </c>
    </row>
    <row r="43">
      <c r="A43" s="9">
        <f>IF(C42&gt;0.5,SQRT(A42*B42),A42)</f>
        <v/>
      </c>
      <c r="B43" s="9">
        <f>IF(C42&gt;0.5,B42,SQRT(A42*B42))</f>
        <v/>
      </c>
      <c r="C43" s="47">
        <f>SUMPRODUCT($B$4:$B$6,1-NORMSDIST((LN(SQRT(A43*B43))-LN($C$4:$C$6))/$B$9))</f>
        <v/>
      </c>
      <c r="D43" s="9">
        <f>IF(F42&gt;0.9,SQRT(D42*E42),D42)</f>
        <v/>
      </c>
      <c r="E43" s="9">
        <f>IF(F42&gt;0.9,E42,SQRT(D42*E42))</f>
        <v/>
      </c>
      <c r="F43" s="47">
        <f>SUMPRODUCT($B$4:$B$6,1-NORMSDIST((LN(SQRT(D43*E43))-LN($C$4:$C$6))/$B$9))</f>
        <v/>
      </c>
      <c r="G43" s="9">
        <f>IF(I42&gt;0.75,SQRT(G42*H42),G42)</f>
        <v/>
      </c>
      <c r="H43" s="9">
        <f>IF(I42&gt;0.75,H42,SQRT(G42*H42))</f>
        <v/>
      </c>
      <c r="I43" s="47">
        <f>SUMPRODUCT($B$4:$B$6,1-NORMSDIST((LN(SQRT(G43*H43))-LN($C$4:$C$6))/$B$9))</f>
        <v/>
      </c>
      <c r="J43" s="9">
        <f>IF(L42&gt;0.25,SQRT(J42*K42),J42)</f>
        <v/>
      </c>
      <c r="K43" s="9">
        <f>IF(L42&gt;0.25,K42,SQRT(J42*K42))</f>
        <v/>
      </c>
      <c r="L43" s="47">
        <f>SUMPRODUCT($B$4:$B$6,1-NORMSDIST((LN(SQRT(J43*K43))-LN($C$4:$C$6))/$B$9))</f>
        <v/>
      </c>
      <c r="M43" s="9">
        <f>IF(O42&gt;0.09999999999999998,SQRT(M42*N42),M42)</f>
        <v/>
      </c>
      <c r="N43" s="9">
        <f>IF(O42&gt;0.09999999999999998,N42,SQRT(M42*N42))</f>
        <v/>
      </c>
      <c r="O43" s="47">
        <f>SUMPRODUCT($B$4:$B$6,1-NORMSDIST((LN(SQRT(M43*N43))-LN($C$4:$C$6))/$B$9))</f>
        <v/>
      </c>
    </row>
    <row r="44">
      <c r="A44" s="9">
        <f>IF(C43&gt;0.5,SQRT(A43*B43),A43)</f>
        <v/>
      </c>
      <c r="B44" s="9">
        <f>IF(C43&gt;0.5,B43,SQRT(A43*B43))</f>
        <v/>
      </c>
      <c r="C44" s="47">
        <f>SUMPRODUCT($B$4:$B$6,1-NORMSDIST((LN(SQRT(A44*B44))-LN($C$4:$C$6))/$B$9))</f>
        <v/>
      </c>
      <c r="D44" s="9">
        <f>IF(F43&gt;0.9,SQRT(D43*E43),D43)</f>
        <v/>
      </c>
      <c r="E44" s="9">
        <f>IF(F43&gt;0.9,E43,SQRT(D43*E43))</f>
        <v/>
      </c>
      <c r="F44" s="47">
        <f>SUMPRODUCT($B$4:$B$6,1-NORMSDIST((LN(SQRT(D44*E44))-LN($C$4:$C$6))/$B$9))</f>
        <v/>
      </c>
      <c r="G44" s="9">
        <f>IF(I43&gt;0.75,SQRT(G43*H43),G43)</f>
        <v/>
      </c>
      <c r="H44" s="9">
        <f>IF(I43&gt;0.75,H43,SQRT(G43*H43))</f>
        <v/>
      </c>
      <c r="I44" s="47">
        <f>SUMPRODUCT($B$4:$B$6,1-NORMSDIST((LN(SQRT(G44*H44))-LN($C$4:$C$6))/$B$9))</f>
        <v/>
      </c>
      <c r="J44" s="9">
        <f>IF(L43&gt;0.25,SQRT(J43*K43),J43)</f>
        <v/>
      </c>
      <c r="K44" s="9">
        <f>IF(L43&gt;0.25,K43,SQRT(J43*K43))</f>
        <v/>
      </c>
      <c r="L44" s="47">
        <f>SUMPRODUCT($B$4:$B$6,1-NORMSDIST((LN(SQRT(J44*K44))-LN($C$4:$C$6))/$B$9))</f>
        <v/>
      </c>
      <c r="M44" s="9">
        <f>IF(O43&gt;0.09999999999999998,SQRT(M43*N43),M43)</f>
        <v/>
      </c>
      <c r="N44" s="9">
        <f>IF(O43&gt;0.09999999999999998,N43,SQRT(M43*N43))</f>
        <v/>
      </c>
      <c r="O44" s="47">
        <f>SUMPRODUCT($B$4:$B$6,1-NORMSDIST((LN(SQRT(M44*N44))-LN($C$4:$C$6))/$B$9))</f>
        <v/>
      </c>
    </row>
    <row r="45">
      <c r="A45" s="9">
        <f>IF(C44&gt;0.5,SQRT(A44*B44),A44)</f>
        <v/>
      </c>
      <c r="B45" s="9">
        <f>IF(C44&gt;0.5,B44,SQRT(A44*B44))</f>
        <v/>
      </c>
      <c r="C45" s="47">
        <f>SUMPRODUCT($B$4:$B$6,1-NORMSDIST((LN(SQRT(A45*B45))-LN($C$4:$C$6))/$B$9))</f>
        <v/>
      </c>
      <c r="D45" s="9">
        <f>IF(F44&gt;0.9,SQRT(D44*E44),D44)</f>
        <v/>
      </c>
      <c r="E45" s="9">
        <f>IF(F44&gt;0.9,E44,SQRT(D44*E44))</f>
        <v/>
      </c>
      <c r="F45" s="47">
        <f>SUMPRODUCT($B$4:$B$6,1-NORMSDIST((LN(SQRT(D45*E45))-LN($C$4:$C$6))/$B$9))</f>
        <v/>
      </c>
      <c r="G45" s="9">
        <f>IF(I44&gt;0.75,SQRT(G44*H44),G44)</f>
        <v/>
      </c>
      <c r="H45" s="9">
        <f>IF(I44&gt;0.75,H44,SQRT(G44*H44))</f>
        <v/>
      </c>
      <c r="I45" s="47">
        <f>SUMPRODUCT($B$4:$B$6,1-NORMSDIST((LN(SQRT(G45*H45))-LN($C$4:$C$6))/$B$9))</f>
        <v/>
      </c>
      <c r="J45" s="9">
        <f>IF(L44&gt;0.25,SQRT(J44*K44),J44)</f>
        <v/>
      </c>
      <c r="K45" s="9">
        <f>IF(L44&gt;0.25,K44,SQRT(J44*K44))</f>
        <v/>
      </c>
      <c r="L45" s="47">
        <f>SUMPRODUCT($B$4:$B$6,1-NORMSDIST((LN(SQRT(J45*K45))-LN($C$4:$C$6))/$B$9))</f>
        <v/>
      </c>
      <c r="M45" s="9">
        <f>IF(O44&gt;0.09999999999999998,SQRT(M44*N44),M44)</f>
        <v/>
      </c>
      <c r="N45" s="9">
        <f>IF(O44&gt;0.09999999999999998,N44,SQRT(M44*N44))</f>
        <v/>
      </c>
      <c r="O45" s="47">
        <f>SUMPRODUCT($B$4:$B$6,1-NORMSDIST((LN(SQRT(M45*N45))-LN($C$4:$C$6))/$B$9))</f>
        <v/>
      </c>
    </row>
    <row r="46">
      <c r="A46" s="9">
        <f>IF(C45&gt;0.5,SQRT(A45*B45),A45)</f>
        <v/>
      </c>
      <c r="B46" s="9">
        <f>IF(C45&gt;0.5,B45,SQRT(A45*B45))</f>
        <v/>
      </c>
      <c r="C46" s="47">
        <f>SUMPRODUCT($B$4:$B$6,1-NORMSDIST((LN(SQRT(A46*B46))-LN($C$4:$C$6))/$B$9))</f>
        <v/>
      </c>
      <c r="D46" s="9">
        <f>IF(F45&gt;0.9,SQRT(D45*E45),D45)</f>
        <v/>
      </c>
      <c r="E46" s="9">
        <f>IF(F45&gt;0.9,E45,SQRT(D45*E45))</f>
        <v/>
      </c>
      <c r="F46" s="47">
        <f>SUMPRODUCT($B$4:$B$6,1-NORMSDIST((LN(SQRT(D46*E46))-LN($C$4:$C$6))/$B$9))</f>
        <v/>
      </c>
      <c r="G46" s="9">
        <f>IF(I45&gt;0.75,SQRT(G45*H45),G45)</f>
        <v/>
      </c>
      <c r="H46" s="9">
        <f>IF(I45&gt;0.75,H45,SQRT(G45*H45))</f>
        <v/>
      </c>
      <c r="I46" s="47">
        <f>SUMPRODUCT($B$4:$B$6,1-NORMSDIST((LN(SQRT(G46*H46))-LN($C$4:$C$6))/$B$9))</f>
        <v/>
      </c>
      <c r="J46" s="9">
        <f>IF(L45&gt;0.25,SQRT(J45*K45),J45)</f>
        <v/>
      </c>
      <c r="K46" s="9">
        <f>IF(L45&gt;0.25,K45,SQRT(J45*K45))</f>
        <v/>
      </c>
      <c r="L46" s="47">
        <f>SUMPRODUCT($B$4:$B$6,1-NORMSDIST((LN(SQRT(J46*K46))-LN($C$4:$C$6))/$B$9))</f>
        <v/>
      </c>
      <c r="M46" s="9">
        <f>IF(O45&gt;0.09999999999999998,SQRT(M45*N45),M45)</f>
        <v/>
      </c>
      <c r="N46" s="9">
        <f>IF(O45&gt;0.09999999999999998,N45,SQRT(M45*N45))</f>
        <v/>
      </c>
      <c r="O46" s="47">
        <f>SUMPRODUCT($B$4:$B$6,1-NORMSDIST((LN(SQRT(M46*N46))-LN($C$4:$C$6))/$B$9))</f>
        <v/>
      </c>
    </row>
    <row r="47">
      <c r="A47" s="9">
        <f>IF(C46&gt;0.5,SQRT(A46*B46),A46)</f>
        <v/>
      </c>
      <c r="B47" s="9">
        <f>IF(C46&gt;0.5,B46,SQRT(A46*B46))</f>
        <v/>
      </c>
      <c r="C47" s="47">
        <f>SUMPRODUCT($B$4:$B$6,1-NORMSDIST((LN(SQRT(A47*B47))-LN($C$4:$C$6))/$B$9))</f>
        <v/>
      </c>
      <c r="D47" s="9">
        <f>IF(F46&gt;0.9,SQRT(D46*E46),D46)</f>
        <v/>
      </c>
      <c r="E47" s="9">
        <f>IF(F46&gt;0.9,E46,SQRT(D46*E46))</f>
        <v/>
      </c>
      <c r="F47" s="47">
        <f>SUMPRODUCT($B$4:$B$6,1-NORMSDIST((LN(SQRT(D47*E47))-LN($C$4:$C$6))/$B$9))</f>
        <v/>
      </c>
      <c r="G47" s="9">
        <f>IF(I46&gt;0.75,SQRT(G46*H46),G46)</f>
        <v/>
      </c>
      <c r="H47" s="9">
        <f>IF(I46&gt;0.75,H46,SQRT(G46*H46))</f>
        <v/>
      </c>
      <c r="I47" s="47">
        <f>SUMPRODUCT($B$4:$B$6,1-NORMSDIST((LN(SQRT(G47*H47))-LN($C$4:$C$6))/$B$9))</f>
        <v/>
      </c>
      <c r="J47" s="9">
        <f>IF(L46&gt;0.25,SQRT(J46*K46),J46)</f>
        <v/>
      </c>
      <c r="K47" s="9">
        <f>IF(L46&gt;0.25,K46,SQRT(J46*K46))</f>
        <v/>
      </c>
      <c r="L47" s="47">
        <f>SUMPRODUCT($B$4:$B$6,1-NORMSDIST((LN(SQRT(J47*K47))-LN($C$4:$C$6))/$B$9))</f>
        <v/>
      </c>
      <c r="M47" s="9">
        <f>IF(O46&gt;0.09999999999999998,SQRT(M46*N46),M46)</f>
        <v/>
      </c>
      <c r="N47" s="9">
        <f>IF(O46&gt;0.09999999999999998,N46,SQRT(M46*N46))</f>
        <v/>
      </c>
      <c r="O47" s="47">
        <f>SUMPRODUCT($B$4:$B$6,1-NORMSDIST((LN(SQRT(M47*N47))-LN($C$4:$C$6))/$B$9))</f>
        <v/>
      </c>
    </row>
    <row r="48">
      <c r="A48" s="9">
        <f>IF(C47&gt;0.5,SQRT(A47*B47),A47)</f>
        <v/>
      </c>
      <c r="B48" s="9">
        <f>IF(C47&gt;0.5,B47,SQRT(A47*B47))</f>
        <v/>
      </c>
      <c r="C48" s="47">
        <f>SUMPRODUCT($B$4:$B$6,1-NORMSDIST((LN(SQRT(A48*B48))-LN($C$4:$C$6))/$B$9))</f>
        <v/>
      </c>
      <c r="D48" s="9">
        <f>IF(F47&gt;0.9,SQRT(D47*E47),D47)</f>
        <v/>
      </c>
      <c r="E48" s="9">
        <f>IF(F47&gt;0.9,E47,SQRT(D47*E47))</f>
        <v/>
      </c>
      <c r="F48" s="47">
        <f>SUMPRODUCT($B$4:$B$6,1-NORMSDIST((LN(SQRT(D48*E48))-LN($C$4:$C$6))/$B$9))</f>
        <v/>
      </c>
      <c r="G48" s="9">
        <f>IF(I47&gt;0.75,SQRT(G47*H47),G47)</f>
        <v/>
      </c>
      <c r="H48" s="9">
        <f>IF(I47&gt;0.75,H47,SQRT(G47*H47))</f>
        <v/>
      </c>
      <c r="I48" s="47">
        <f>SUMPRODUCT($B$4:$B$6,1-NORMSDIST((LN(SQRT(G48*H48))-LN($C$4:$C$6))/$B$9))</f>
        <v/>
      </c>
      <c r="J48" s="9">
        <f>IF(L47&gt;0.25,SQRT(J47*K47),J47)</f>
        <v/>
      </c>
      <c r="K48" s="9">
        <f>IF(L47&gt;0.25,K47,SQRT(J47*K47))</f>
        <v/>
      </c>
      <c r="L48" s="47">
        <f>SUMPRODUCT($B$4:$B$6,1-NORMSDIST((LN(SQRT(J48*K48))-LN($C$4:$C$6))/$B$9))</f>
        <v/>
      </c>
      <c r="M48" s="9">
        <f>IF(O47&gt;0.09999999999999998,SQRT(M47*N47),M47)</f>
        <v/>
      </c>
      <c r="N48" s="9">
        <f>IF(O47&gt;0.09999999999999998,N47,SQRT(M47*N47))</f>
        <v/>
      </c>
      <c r="O48" s="47">
        <f>SUMPRODUCT($B$4:$B$6,1-NORMSDIST((LN(SQRT(M48*N48))-LN($C$4:$C$6))/$B$9))</f>
        <v/>
      </c>
    </row>
    <row r="49">
      <c r="A49" s="9">
        <f>IF(C48&gt;0.5,SQRT(A48*B48),A48)</f>
        <v/>
      </c>
      <c r="B49" s="9">
        <f>IF(C48&gt;0.5,B48,SQRT(A48*B48))</f>
        <v/>
      </c>
      <c r="C49" s="47">
        <f>SUMPRODUCT($B$4:$B$6,1-NORMSDIST((LN(SQRT(A49*B49))-LN($C$4:$C$6))/$B$9))</f>
        <v/>
      </c>
      <c r="D49" s="9">
        <f>IF(F48&gt;0.9,SQRT(D48*E48),D48)</f>
        <v/>
      </c>
      <c r="E49" s="9">
        <f>IF(F48&gt;0.9,E48,SQRT(D48*E48))</f>
        <v/>
      </c>
      <c r="F49" s="47">
        <f>SUMPRODUCT($B$4:$B$6,1-NORMSDIST((LN(SQRT(D49*E49))-LN($C$4:$C$6))/$B$9))</f>
        <v/>
      </c>
      <c r="G49" s="9">
        <f>IF(I48&gt;0.75,SQRT(G48*H48),G48)</f>
        <v/>
      </c>
      <c r="H49" s="9">
        <f>IF(I48&gt;0.75,H48,SQRT(G48*H48))</f>
        <v/>
      </c>
      <c r="I49" s="47">
        <f>SUMPRODUCT($B$4:$B$6,1-NORMSDIST((LN(SQRT(G49*H49))-LN($C$4:$C$6))/$B$9))</f>
        <v/>
      </c>
      <c r="J49" s="9">
        <f>IF(L48&gt;0.25,SQRT(J48*K48),J48)</f>
        <v/>
      </c>
      <c r="K49" s="9">
        <f>IF(L48&gt;0.25,K48,SQRT(J48*K48))</f>
        <v/>
      </c>
      <c r="L49" s="47">
        <f>SUMPRODUCT($B$4:$B$6,1-NORMSDIST((LN(SQRT(J49*K49))-LN($C$4:$C$6))/$B$9))</f>
        <v/>
      </c>
      <c r="M49" s="9">
        <f>IF(O48&gt;0.09999999999999998,SQRT(M48*N48),M48)</f>
        <v/>
      </c>
      <c r="N49" s="9">
        <f>IF(O48&gt;0.09999999999999998,N48,SQRT(M48*N48))</f>
        <v/>
      </c>
      <c r="O49" s="47">
        <f>SUMPRODUCT($B$4:$B$6,1-NORMSDIST((LN(SQRT(M49*N49))-LN($C$4:$C$6))/$B$9))</f>
        <v/>
      </c>
    </row>
    <row r="50">
      <c r="A50" s="9">
        <f>IF(C49&gt;0.5,SQRT(A49*B49),A49)</f>
        <v/>
      </c>
      <c r="B50" s="9">
        <f>IF(C49&gt;0.5,B49,SQRT(A49*B49))</f>
        <v/>
      </c>
      <c r="C50" s="47">
        <f>SUMPRODUCT($B$4:$B$6,1-NORMSDIST((LN(SQRT(A50*B50))-LN($C$4:$C$6))/$B$9))</f>
        <v/>
      </c>
      <c r="D50" s="9">
        <f>IF(F49&gt;0.9,SQRT(D49*E49),D49)</f>
        <v/>
      </c>
      <c r="E50" s="9">
        <f>IF(F49&gt;0.9,E49,SQRT(D49*E49))</f>
        <v/>
      </c>
      <c r="F50" s="47">
        <f>SUMPRODUCT($B$4:$B$6,1-NORMSDIST((LN(SQRT(D50*E50))-LN($C$4:$C$6))/$B$9))</f>
        <v/>
      </c>
      <c r="G50" s="9">
        <f>IF(I49&gt;0.75,SQRT(G49*H49),G49)</f>
        <v/>
      </c>
      <c r="H50" s="9">
        <f>IF(I49&gt;0.75,H49,SQRT(G49*H49))</f>
        <v/>
      </c>
      <c r="I50" s="47">
        <f>SUMPRODUCT($B$4:$B$6,1-NORMSDIST((LN(SQRT(G50*H50))-LN($C$4:$C$6))/$B$9))</f>
        <v/>
      </c>
      <c r="J50" s="9">
        <f>IF(L49&gt;0.25,SQRT(J49*K49),J49)</f>
        <v/>
      </c>
      <c r="K50" s="9">
        <f>IF(L49&gt;0.25,K49,SQRT(J49*K49))</f>
        <v/>
      </c>
      <c r="L50" s="47">
        <f>SUMPRODUCT($B$4:$B$6,1-NORMSDIST((LN(SQRT(J50*K50))-LN($C$4:$C$6))/$B$9))</f>
        <v/>
      </c>
      <c r="M50" s="9">
        <f>IF(O49&gt;0.09999999999999998,SQRT(M49*N49),M49)</f>
        <v/>
      </c>
      <c r="N50" s="9">
        <f>IF(O49&gt;0.09999999999999998,N49,SQRT(M49*N49))</f>
        <v/>
      </c>
      <c r="O50" s="47">
        <f>SUMPRODUCT($B$4:$B$6,1-NORMSDIST((LN(SQRT(M50*N50))-LN($C$4:$C$6))/$B$9))</f>
        <v/>
      </c>
    </row>
    <row r="51">
      <c r="A51" s="9">
        <f>IF(C50&gt;0.5,SQRT(A50*B50),A50)</f>
        <v/>
      </c>
      <c r="B51" s="9">
        <f>IF(C50&gt;0.5,B50,SQRT(A50*B50))</f>
        <v/>
      </c>
      <c r="C51" s="47">
        <f>SUMPRODUCT($B$4:$B$6,1-NORMSDIST((LN(SQRT(A51*B51))-LN($C$4:$C$6))/$B$9))</f>
        <v/>
      </c>
      <c r="D51" s="9">
        <f>IF(F50&gt;0.9,SQRT(D50*E50),D50)</f>
        <v/>
      </c>
      <c r="E51" s="9">
        <f>IF(F50&gt;0.9,E50,SQRT(D50*E50))</f>
        <v/>
      </c>
      <c r="F51" s="47">
        <f>SUMPRODUCT($B$4:$B$6,1-NORMSDIST((LN(SQRT(D51*E51))-LN($C$4:$C$6))/$B$9))</f>
        <v/>
      </c>
      <c r="G51" s="9">
        <f>IF(I50&gt;0.75,SQRT(G50*H50),G50)</f>
        <v/>
      </c>
      <c r="H51" s="9">
        <f>IF(I50&gt;0.75,H50,SQRT(G50*H50))</f>
        <v/>
      </c>
      <c r="I51" s="47">
        <f>SUMPRODUCT($B$4:$B$6,1-NORMSDIST((LN(SQRT(G51*H51))-LN($C$4:$C$6))/$B$9))</f>
        <v/>
      </c>
      <c r="J51" s="9">
        <f>IF(L50&gt;0.25,SQRT(J50*K50),J50)</f>
        <v/>
      </c>
      <c r="K51" s="9">
        <f>IF(L50&gt;0.25,K50,SQRT(J50*K50))</f>
        <v/>
      </c>
      <c r="L51" s="47">
        <f>SUMPRODUCT($B$4:$B$6,1-NORMSDIST((LN(SQRT(J51*K51))-LN($C$4:$C$6))/$B$9))</f>
        <v/>
      </c>
      <c r="M51" s="9">
        <f>IF(O50&gt;0.09999999999999998,SQRT(M50*N50),M50)</f>
        <v/>
      </c>
      <c r="N51" s="9">
        <f>IF(O50&gt;0.09999999999999998,N50,SQRT(M50*N50))</f>
        <v/>
      </c>
      <c r="O51" s="47">
        <f>SUMPRODUCT($B$4:$B$6,1-NORMSDIST((LN(SQRT(M51*N51))-LN($C$4:$C$6))/$B$9))</f>
        <v/>
      </c>
    </row>
    <row r="52">
      <c r="A52" s="9">
        <f>IF(C51&gt;0.5,SQRT(A51*B51),A51)</f>
        <v/>
      </c>
      <c r="B52" s="9">
        <f>IF(C51&gt;0.5,B51,SQRT(A51*B51))</f>
        <v/>
      </c>
      <c r="C52" s="47">
        <f>SUMPRODUCT($B$4:$B$6,1-NORMSDIST((LN(SQRT(A52*B52))-LN($C$4:$C$6))/$B$9))</f>
        <v/>
      </c>
      <c r="D52" s="9">
        <f>IF(F51&gt;0.9,SQRT(D51*E51),D51)</f>
        <v/>
      </c>
      <c r="E52" s="9">
        <f>IF(F51&gt;0.9,E51,SQRT(D51*E51))</f>
        <v/>
      </c>
      <c r="F52" s="47">
        <f>SUMPRODUCT($B$4:$B$6,1-NORMSDIST((LN(SQRT(D52*E52))-LN($C$4:$C$6))/$B$9))</f>
        <v/>
      </c>
      <c r="G52" s="9">
        <f>IF(I51&gt;0.75,SQRT(G51*H51),G51)</f>
        <v/>
      </c>
      <c r="H52" s="9">
        <f>IF(I51&gt;0.75,H51,SQRT(G51*H51))</f>
        <v/>
      </c>
      <c r="I52" s="47">
        <f>SUMPRODUCT($B$4:$B$6,1-NORMSDIST((LN(SQRT(G52*H52))-LN($C$4:$C$6))/$B$9))</f>
        <v/>
      </c>
      <c r="J52" s="9">
        <f>IF(L51&gt;0.25,SQRT(J51*K51),J51)</f>
        <v/>
      </c>
      <c r="K52" s="9">
        <f>IF(L51&gt;0.25,K51,SQRT(J51*K51))</f>
        <v/>
      </c>
      <c r="L52" s="47">
        <f>SUMPRODUCT($B$4:$B$6,1-NORMSDIST((LN(SQRT(J52*K52))-LN($C$4:$C$6))/$B$9))</f>
        <v/>
      </c>
      <c r="M52" s="9">
        <f>IF(O51&gt;0.09999999999999998,SQRT(M51*N51),M51)</f>
        <v/>
      </c>
      <c r="N52" s="9">
        <f>IF(O51&gt;0.09999999999999998,N51,SQRT(M51*N51))</f>
        <v/>
      </c>
      <c r="O52" s="47">
        <f>SUMPRODUCT($B$4:$B$6,1-NORMSDIST((LN(SQRT(M52*N52))-LN($C$4:$C$6))/$B$9))</f>
        <v/>
      </c>
    </row>
    <row r="53">
      <c r="A53" s="9">
        <f>IF(C52&gt;0.5,SQRT(A52*B52),A52)</f>
        <v/>
      </c>
      <c r="B53" s="9">
        <f>IF(C52&gt;0.5,B52,SQRT(A52*B52))</f>
        <v/>
      </c>
      <c r="C53" s="47">
        <f>SUMPRODUCT($B$4:$B$6,1-NORMSDIST((LN(SQRT(A53*B53))-LN($C$4:$C$6))/$B$9))</f>
        <v/>
      </c>
      <c r="D53" s="9">
        <f>IF(F52&gt;0.9,SQRT(D52*E52),D52)</f>
        <v/>
      </c>
      <c r="E53" s="9">
        <f>IF(F52&gt;0.9,E52,SQRT(D52*E52))</f>
        <v/>
      </c>
      <c r="F53" s="47">
        <f>SUMPRODUCT($B$4:$B$6,1-NORMSDIST((LN(SQRT(D53*E53))-LN($C$4:$C$6))/$B$9))</f>
        <v/>
      </c>
      <c r="G53" s="9">
        <f>IF(I52&gt;0.75,SQRT(G52*H52),G52)</f>
        <v/>
      </c>
      <c r="H53" s="9">
        <f>IF(I52&gt;0.75,H52,SQRT(G52*H52))</f>
        <v/>
      </c>
      <c r="I53" s="47">
        <f>SUMPRODUCT($B$4:$B$6,1-NORMSDIST((LN(SQRT(G53*H53))-LN($C$4:$C$6))/$B$9))</f>
        <v/>
      </c>
      <c r="J53" s="9">
        <f>IF(L52&gt;0.25,SQRT(J52*K52),J52)</f>
        <v/>
      </c>
      <c r="K53" s="9">
        <f>IF(L52&gt;0.25,K52,SQRT(J52*K52))</f>
        <v/>
      </c>
      <c r="L53" s="47">
        <f>SUMPRODUCT($B$4:$B$6,1-NORMSDIST((LN(SQRT(J53*K53))-LN($C$4:$C$6))/$B$9))</f>
        <v/>
      </c>
      <c r="M53" s="9">
        <f>IF(O52&gt;0.09999999999999998,SQRT(M52*N52),M52)</f>
        <v/>
      </c>
      <c r="N53" s="9">
        <f>IF(O52&gt;0.09999999999999998,N52,SQRT(M52*N52))</f>
        <v/>
      </c>
      <c r="O53" s="47">
        <f>SUMPRODUCT($B$4:$B$6,1-NORMSDIST((LN(SQRT(M53*N53))-LN($C$4:$C$6))/$B$9))</f>
        <v/>
      </c>
    </row>
    <row r="54">
      <c r="A54" s="9">
        <f>IF(C53&gt;0.5,SQRT(A53*B53),A53)</f>
        <v/>
      </c>
      <c r="B54" s="9">
        <f>IF(C53&gt;0.5,B53,SQRT(A53*B53))</f>
        <v/>
      </c>
      <c r="C54" s="47">
        <f>SUMPRODUCT($B$4:$B$6,1-NORMSDIST((LN(SQRT(A54*B54))-LN($C$4:$C$6))/$B$9))</f>
        <v/>
      </c>
      <c r="D54" s="9">
        <f>IF(F53&gt;0.9,SQRT(D53*E53),D53)</f>
        <v/>
      </c>
      <c r="E54" s="9">
        <f>IF(F53&gt;0.9,E53,SQRT(D53*E53))</f>
        <v/>
      </c>
      <c r="F54" s="47">
        <f>SUMPRODUCT($B$4:$B$6,1-NORMSDIST((LN(SQRT(D54*E54))-LN($C$4:$C$6))/$B$9))</f>
        <v/>
      </c>
      <c r="G54" s="9">
        <f>IF(I53&gt;0.75,SQRT(G53*H53),G53)</f>
        <v/>
      </c>
      <c r="H54" s="9">
        <f>IF(I53&gt;0.75,H53,SQRT(G53*H53))</f>
        <v/>
      </c>
      <c r="I54" s="47">
        <f>SUMPRODUCT($B$4:$B$6,1-NORMSDIST((LN(SQRT(G54*H54))-LN($C$4:$C$6))/$B$9))</f>
        <v/>
      </c>
      <c r="J54" s="9">
        <f>IF(L53&gt;0.25,SQRT(J53*K53),J53)</f>
        <v/>
      </c>
      <c r="K54" s="9">
        <f>IF(L53&gt;0.25,K53,SQRT(J53*K53))</f>
        <v/>
      </c>
      <c r="L54" s="47">
        <f>SUMPRODUCT($B$4:$B$6,1-NORMSDIST((LN(SQRT(J54*K54))-LN($C$4:$C$6))/$B$9))</f>
        <v/>
      </c>
      <c r="M54" s="9">
        <f>IF(O53&gt;0.09999999999999998,SQRT(M53*N53),M53)</f>
        <v/>
      </c>
      <c r="N54" s="9">
        <f>IF(O53&gt;0.09999999999999998,N53,SQRT(M53*N53))</f>
        <v/>
      </c>
      <c r="O54" s="47">
        <f>SUMPRODUCT($B$4:$B$6,1-NORMSDIST((LN(SQRT(M54*N54))-LN($C$4:$C$6))/$B$9))</f>
        <v/>
      </c>
    </row>
    <row r="55">
      <c r="A55" s="9">
        <f>IF(C54&gt;0.5,SQRT(A54*B54),A54)</f>
        <v/>
      </c>
      <c r="B55" s="9">
        <f>IF(C54&gt;0.5,B54,SQRT(A54*B54))</f>
        <v/>
      </c>
      <c r="C55" s="47">
        <f>SUMPRODUCT($B$4:$B$6,1-NORMSDIST((LN(SQRT(A55*B55))-LN($C$4:$C$6))/$B$9))</f>
        <v/>
      </c>
      <c r="D55" s="9">
        <f>IF(F54&gt;0.9,SQRT(D54*E54),D54)</f>
        <v/>
      </c>
      <c r="E55" s="9">
        <f>IF(F54&gt;0.9,E54,SQRT(D54*E54))</f>
        <v/>
      </c>
      <c r="F55" s="47">
        <f>SUMPRODUCT($B$4:$B$6,1-NORMSDIST((LN(SQRT(D55*E55))-LN($C$4:$C$6))/$B$9))</f>
        <v/>
      </c>
      <c r="G55" s="9">
        <f>IF(I54&gt;0.75,SQRT(G54*H54),G54)</f>
        <v/>
      </c>
      <c r="H55" s="9">
        <f>IF(I54&gt;0.75,H54,SQRT(G54*H54))</f>
        <v/>
      </c>
      <c r="I55" s="47">
        <f>SUMPRODUCT($B$4:$B$6,1-NORMSDIST((LN(SQRT(G55*H55))-LN($C$4:$C$6))/$B$9))</f>
        <v/>
      </c>
      <c r="J55" s="9">
        <f>IF(L54&gt;0.25,SQRT(J54*K54),J54)</f>
        <v/>
      </c>
      <c r="K55" s="9">
        <f>IF(L54&gt;0.25,K54,SQRT(J54*K54))</f>
        <v/>
      </c>
      <c r="L55" s="47">
        <f>SUMPRODUCT($B$4:$B$6,1-NORMSDIST((LN(SQRT(J55*K55))-LN($C$4:$C$6))/$B$9))</f>
        <v/>
      </c>
      <c r="M55" s="9">
        <f>IF(O54&gt;0.09999999999999998,SQRT(M54*N54),M54)</f>
        <v/>
      </c>
      <c r="N55" s="9">
        <f>IF(O54&gt;0.09999999999999998,N54,SQRT(M54*N54))</f>
        <v/>
      </c>
      <c r="O55" s="47">
        <f>SUMPRODUCT($B$4:$B$6,1-NORMSDIST((LN(SQRT(M55*N55))-LN($C$4:$C$6))/$B$9))</f>
        <v/>
      </c>
    </row>
    <row r="56">
      <c r="A56" s="9">
        <f>IF(C55&gt;0.5,SQRT(A55*B55),A55)</f>
        <v/>
      </c>
      <c r="B56" s="9">
        <f>IF(C55&gt;0.5,B55,SQRT(A55*B55))</f>
        <v/>
      </c>
      <c r="C56" s="47">
        <f>SUMPRODUCT($B$4:$B$6,1-NORMSDIST((LN(SQRT(A56*B56))-LN($C$4:$C$6))/$B$9))</f>
        <v/>
      </c>
      <c r="D56" s="9">
        <f>IF(F55&gt;0.9,SQRT(D55*E55),D55)</f>
        <v/>
      </c>
      <c r="E56" s="9">
        <f>IF(F55&gt;0.9,E55,SQRT(D55*E55))</f>
        <v/>
      </c>
      <c r="F56" s="47">
        <f>SUMPRODUCT($B$4:$B$6,1-NORMSDIST((LN(SQRT(D56*E56))-LN($C$4:$C$6))/$B$9))</f>
        <v/>
      </c>
      <c r="G56" s="9">
        <f>IF(I55&gt;0.75,SQRT(G55*H55),G55)</f>
        <v/>
      </c>
      <c r="H56" s="9">
        <f>IF(I55&gt;0.75,H55,SQRT(G55*H55))</f>
        <v/>
      </c>
      <c r="I56" s="47">
        <f>SUMPRODUCT($B$4:$B$6,1-NORMSDIST((LN(SQRT(G56*H56))-LN($C$4:$C$6))/$B$9))</f>
        <v/>
      </c>
      <c r="J56" s="9">
        <f>IF(L55&gt;0.25,SQRT(J55*K55),J55)</f>
        <v/>
      </c>
      <c r="K56" s="9">
        <f>IF(L55&gt;0.25,K55,SQRT(J55*K55))</f>
        <v/>
      </c>
      <c r="L56" s="47">
        <f>SUMPRODUCT($B$4:$B$6,1-NORMSDIST((LN(SQRT(J56*K56))-LN($C$4:$C$6))/$B$9))</f>
        <v/>
      </c>
      <c r="M56" s="9">
        <f>IF(O55&gt;0.09999999999999998,SQRT(M55*N55),M55)</f>
        <v/>
      </c>
      <c r="N56" s="9">
        <f>IF(O55&gt;0.09999999999999998,N55,SQRT(M55*N55))</f>
        <v/>
      </c>
      <c r="O56" s="47">
        <f>SUMPRODUCT($B$4:$B$6,1-NORMSDIST((LN(SQRT(M56*N56))-LN($C$4:$C$6))/$B$9))</f>
        <v/>
      </c>
    </row>
    <row r="57">
      <c r="A57" s="9">
        <f>IF(C56&gt;0.5,SQRT(A56*B56),A56)</f>
        <v/>
      </c>
      <c r="B57" s="9">
        <f>IF(C56&gt;0.5,B56,SQRT(A56*B56))</f>
        <v/>
      </c>
      <c r="C57" s="47">
        <f>SUMPRODUCT($B$4:$B$6,1-NORMSDIST((LN(SQRT(A57*B57))-LN($C$4:$C$6))/$B$9))</f>
        <v/>
      </c>
      <c r="D57" s="9">
        <f>IF(F56&gt;0.9,SQRT(D56*E56),D56)</f>
        <v/>
      </c>
      <c r="E57" s="9">
        <f>IF(F56&gt;0.9,E56,SQRT(D56*E56))</f>
        <v/>
      </c>
      <c r="F57" s="47">
        <f>SUMPRODUCT($B$4:$B$6,1-NORMSDIST((LN(SQRT(D57*E57))-LN($C$4:$C$6))/$B$9))</f>
        <v/>
      </c>
      <c r="G57" s="9">
        <f>IF(I56&gt;0.75,SQRT(G56*H56),G56)</f>
        <v/>
      </c>
      <c r="H57" s="9">
        <f>IF(I56&gt;0.75,H56,SQRT(G56*H56))</f>
        <v/>
      </c>
      <c r="I57" s="47">
        <f>SUMPRODUCT($B$4:$B$6,1-NORMSDIST((LN(SQRT(G57*H57))-LN($C$4:$C$6))/$B$9))</f>
        <v/>
      </c>
      <c r="J57" s="9">
        <f>IF(L56&gt;0.25,SQRT(J56*K56),J56)</f>
        <v/>
      </c>
      <c r="K57" s="9">
        <f>IF(L56&gt;0.25,K56,SQRT(J56*K56))</f>
        <v/>
      </c>
      <c r="L57" s="47">
        <f>SUMPRODUCT($B$4:$B$6,1-NORMSDIST((LN(SQRT(J57*K57))-LN($C$4:$C$6))/$B$9))</f>
        <v/>
      </c>
      <c r="M57" s="9">
        <f>IF(O56&gt;0.09999999999999998,SQRT(M56*N56),M56)</f>
        <v/>
      </c>
      <c r="N57" s="9">
        <f>IF(O56&gt;0.09999999999999998,N56,SQRT(M56*N56))</f>
        <v/>
      </c>
      <c r="O57" s="47">
        <f>SUMPRODUCT($B$4:$B$6,1-NORMSDIST((LN(SQRT(M57*N57))-LN($C$4:$C$6))/$B$9))</f>
        <v/>
      </c>
    </row>
    <row r="58">
      <c r="A58" s="9">
        <f>IF(C57&gt;0.5,SQRT(A57*B57),A57)</f>
        <v/>
      </c>
      <c r="B58" s="9">
        <f>IF(C57&gt;0.5,B57,SQRT(A57*B57))</f>
        <v/>
      </c>
      <c r="C58" s="47">
        <f>SUMPRODUCT($B$4:$B$6,1-NORMSDIST((LN(SQRT(A58*B58))-LN($C$4:$C$6))/$B$9))</f>
        <v/>
      </c>
      <c r="D58" s="9">
        <f>IF(F57&gt;0.9,SQRT(D57*E57),D57)</f>
        <v/>
      </c>
      <c r="E58" s="9">
        <f>IF(F57&gt;0.9,E57,SQRT(D57*E57))</f>
        <v/>
      </c>
      <c r="F58" s="47">
        <f>SUMPRODUCT($B$4:$B$6,1-NORMSDIST((LN(SQRT(D58*E58))-LN($C$4:$C$6))/$B$9))</f>
        <v/>
      </c>
      <c r="G58" s="9">
        <f>IF(I57&gt;0.75,SQRT(G57*H57),G57)</f>
        <v/>
      </c>
      <c r="H58" s="9">
        <f>IF(I57&gt;0.75,H57,SQRT(G57*H57))</f>
        <v/>
      </c>
      <c r="I58" s="47">
        <f>SUMPRODUCT($B$4:$B$6,1-NORMSDIST((LN(SQRT(G58*H58))-LN($C$4:$C$6))/$B$9))</f>
        <v/>
      </c>
      <c r="J58" s="9">
        <f>IF(L57&gt;0.25,SQRT(J57*K57),J57)</f>
        <v/>
      </c>
      <c r="K58" s="9">
        <f>IF(L57&gt;0.25,K57,SQRT(J57*K57))</f>
        <v/>
      </c>
      <c r="L58" s="47">
        <f>SUMPRODUCT($B$4:$B$6,1-NORMSDIST((LN(SQRT(J58*K58))-LN($C$4:$C$6))/$B$9))</f>
        <v/>
      </c>
      <c r="M58" s="9">
        <f>IF(O57&gt;0.09999999999999998,SQRT(M57*N57),M57)</f>
        <v/>
      </c>
      <c r="N58" s="9">
        <f>IF(O57&gt;0.09999999999999998,N57,SQRT(M57*N57))</f>
        <v/>
      </c>
      <c r="O58" s="47">
        <f>SUMPRODUCT($B$4:$B$6,1-NORMSDIST((LN(SQRT(M58*N58))-LN($C$4:$C$6))/$B$9))</f>
        <v/>
      </c>
    </row>
    <row r="59">
      <c r="A59" s="9">
        <f>IF(C58&gt;0.5,SQRT(A58*B58),A58)</f>
        <v/>
      </c>
      <c r="B59" s="9">
        <f>IF(C58&gt;0.5,B58,SQRT(A58*B58))</f>
        <v/>
      </c>
      <c r="C59" s="47">
        <f>SUMPRODUCT($B$4:$B$6,1-NORMSDIST((LN(SQRT(A59*B59))-LN($C$4:$C$6))/$B$9))</f>
        <v/>
      </c>
      <c r="D59" s="9">
        <f>IF(F58&gt;0.9,SQRT(D58*E58),D58)</f>
        <v/>
      </c>
      <c r="E59" s="9">
        <f>IF(F58&gt;0.9,E58,SQRT(D58*E58))</f>
        <v/>
      </c>
      <c r="F59" s="47">
        <f>SUMPRODUCT($B$4:$B$6,1-NORMSDIST((LN(SQRT(D59*E59))-LN($C$4:$C$6))/$B$9))</f>
        <v/>
      </c>
      <c r="G59" s="9">
        <f>IF(I58&gt;0.75,SQRT(G58*H58),G58)</f>
        <v/>
      </c>
      <c r="H59" s="9">
        <f>IF(I58&gt;0.75,H58,SQRT(G58*H58))</f>
        <v/>
      </c>
      <c r="I59" s="47">
        <f>SUMPRODUCT($B$4:$B$6,1-NORMSDIST((LN(SQRT(G59*H59))-LN($C$4:$C$6))/$B$9))</f>
        <v/>
      </c>
      <c r="J59" s="9">
        <f>IF(L58&gt;0.25,SQRT(J58*K58),J58)</f>
        <v/>
      </c>
      <c r="K59" s="9">
        <f>IF(L58&gt;0.25,K58,SQRT(J58*K58))</f>
        <v/>
      </c>
      <c r="L59" s="47">
        <f>SUMPRODUCT($B$4:$B$6,1-NORMSDIST((LN(SQRT(J59*K59))-LN($C$4:$C$6))/$B$9))</f>
        <v/>
      </c>
      <c r="M59" s="9">
        <f>IF(O58&gt;0.09999999999999998,SQRT(M58*N58),M58)</f>
        <v/>
      </c>
      <c r="N59" s="9">
        <f>IF(O58&gt;0.09999999999999998,N58,SQRT(M58*N58))</f>
        <v/>
      </c>
      <c r="O59" s="47">
        <f>SUMPRODUCT($B$4:$B$6,1-NORMSDIST((LN(SQRT(M59*N59))-LN($C$4:$C$6))/$B$9))</f>
        <v/>
      </c>
    </row>
    <row r="60">
      <c r="A60" s="9">
        <f>IF(C59&gt;0.5,SQRT(A59*B59),A59)</f>
        <v/>
      </c>
      <c r="B60" s="9">
        <f>IF(C59&gt;0.5,B59,SQRT(A59*B59))</f>
        <v/>
      </c>
      <c r="C60" s="47">
        <f>SUMPRODUCT($B$4:$B$6,1-NORMSDIST((LN(SQRT(A60*B60))-LN($C$4:$C$6))/$B$9))</f>
        <v/>
      </c>
      <c r="D60" s="9">
        <f>IF(F59&gt;0.9,SQRT(D59*E59),D59)</f>
        <v/>
      </c>
      <c r="E60" s="9">
        <f>IF(F59&gt;0.9,E59,SQRT(D59*E59))</f>
        <v/>
      </c>
      <c r="F60" s="47">
        <f>SUMPRODUCT($B$4:$B$6,1-NORMSDIST((LN(SQRT(D60*E60))-LN($C$4:$C$6))/$B$9))</f>
        <v/>
      </c>
      <c r="G60" s="9">
        <f>IF(I59&gt;0.75,SQRT(G59*H59),G59)</f>
        <v/>
      </c>
      <c r="H60" s="9">
        <f>IF(I59&gt;0.75,H59,SQRT(G59*H59))</f>
        <v/>
      </c>
      <c r="I60" s="47">
        <f>SUMPRODUCT($B$4:$B$6,1-NORMSDIST((LN(SQRT(G60*H60))-LN($C$4:$C$6))/$B$9))</f>
        <v/>
      </c>
      <c r="J60" s="9">
        <f>IF(L59&gt;0.25,SQRT(J59*K59),J59)</f>
        <v/>
      </c>
      <c r="K60" s="9">
        <f>IF(L59&gt;0.25,K59,SQRT(J59*K59))</f>
        <v/>
      </c>
      <c r="L60" s="47">
        <f>SUMPRODUCT($B$4:$B$6,1-NORMSDIST((LN(SQRT(J60*K60))-LN($C$4:$C$6))/$B$9))</f>
        <v/>
      </c>
      <c r="M60" s="9">
        <f>IF(O59&gt;0.09999999999999998,SQRT(M59*N59),M59)</f>
        <v/>
      </c>
      <c r="N60" s="9">
        <f>IF(O59&gt;0.09999999999999998,N59,SQRT(M59*N59))</f>
        <v/>
      </c>
      <c r="O60" s="47">
        <f>SUMPRODUCT($B$4:$B$6,1-NORMSDIST((LN(SQRT(M60*N60))-LN($C$4:$C$6))/$B$9))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CRDO engine calculation: research target (12m) (reconciled set, no scenario deltas)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8" t="n">
        <v>0</v>
      </c>
    </row>
    <row r="5">
      <c r="A5" t="inlineStr">
        <is>
          <t>Scenario Margin Δ</t>
        </is>
      </c>
      <c r="B5" s="18" t="n">
        <v>0</v>
      </c>
    </row>
    <row r="6">
      <c r="A6" t="inlineStr">
        <is>
          <t>Scenario Multiple Δ (turns)</t>
        </is>
      </c>
      <c r="B6" s="48" t="n">
        <v>0</v>
      </c>
    </row>
    <row r="7">
      <c r="A7" t="inlineStr">
        <is>
          <t>Scenario WACC Δ</t>
        </is>
      </c>
      <c r="B7" s="18" t="n">
        <v>0</v>
      </c>
    </row>
    <row r="8">
      <c r="A8" t="inlineStr">
        <is>
          <t>Scenario Multiple %Δ</t>
        </is>
      </c>
      <c r="B8" s="18" t="n">
        <v>0</v>
      </c>
    </row>
    <row r="9">
      <c r="A9" t="inlineStr">
        <is>
          <t>Scenario Stated EPS/FCF %Δ</t>
        </is>
      </c>
      <c r="B9" s="18" t="n">
        <v>0</v>
      </c>
    </row>
    <row r="10">
      <c r="A10" t="inlineStr">
        <is>
          <t>Scenario Custom %Δ</t>
        </is>
      </c>
      <c r="B10" s="18" t="n">
        <v>0</v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C139</f>
        <v/>
      </c>
      <c r="D22" s="23">
        <f>D139</f>
        <v/>
      </c>
      <c r="E22" s="23">
        <f>E139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C142</f>
        <v/>
      </c>
      <c r="D24" s="23">
        <f>D142</f>
        <v/>
      </c>
      <c r="E24" s="23">
        <f>E142</f>
        <v/>
      </c>
    </row>
    <row r="25">
      <c r="A25" t="inlineStr">
        <is>
          <t>Tax rate</t>
        </is>
      </c>
      <c r="C25" s="18">
        <f>Model!E63</f>
        <v/>
      </c>
      <c r="D25" s="18">
        <f>Model!F63</f>
        <v/>
      </c>
      <c r="E25" s="18">
        <f>Model!G63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C22*(Model!E64)</f>
        <v/>
      </c>
      <c r="D27" s="23">
        <f>D22*(Model!F64)</f>
        <v/>
      </c>
      <c r="E27" s="23">
        <f>E22*(Model!G64)</f>
        <v/>
      </c>
    </row>
    <row r="28">
      <c r="A28" t="inlineStr">
        <is>
          <t>Capex</t>
        </is>
      </c>
      <c r="C28" s="23">
        <f>C22*(Model!E65)</f>
        <v/>
      </c>
      <c r="D28" s="23">
        <f>D22*(Model!F65)</f>
        <v/>
      </c>
      <c r="E28" s="23">
        <f>E22*(Model!G65)</f>
        <v/>
      </c>
    </row>
    <row r="29">
      <c r="A29" t="inlineStr">
        <is>
          <t>Working capital increase</t>
        </is>
      </c>
      <c r="C29" s="23">
        <f>(Model!E66)*(C22-B22)</f>
        <v/>
      </c>
      <c r="D29" s="23">
        <f>(Model!F66)*(D22-C22)</f>
        <v/>
      </c>
      <c r="E29" s="23">
        <f>(Model!G66)*(E22-D22)</f>
        <v/>
      </c>
    </row>
    <row r="30">
      <c r="A30" t="inlineStr">
        <is>
          <t>Stock comp</t>
        </is>
      </c>
      <c r="C30" s="23">
        <f>C22*(Model!E67)</f>
        <v/>
      </c>
      <c r="D30" s="23">
        <f>D22*(Model!F67)</f>
        <v/>
      </c>
      <c r="E30" s="23">
        <f>E22*(Model!G67)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C24+C27+C22*(Model!E71)</f>
        <v/>
      </c>
      <c r="D33" s="23">
        <f>D24+D27+D22*(Model!F71)</f>
        <v/>
      </c>
      <c r="E33" s="23">
        <f>E24+E27+E22*(Model!G71)</f>
        <v/>
      </c>
    </row>
    <row r="34">
      <c r="A34" t="inlineStr">
        <is>
          <t>Shareholder returns + other uses</t>
        </is>
      </c>
      <c r="C34" s="23">
        <f>C22*Model!E69+Model!E68+Model!E70</f>
        <v/>
      </c>
      <c r="D34" s="23">
        <f>D22*Model!F69+Model!F68+Model!F70</f>
        <v/>
      </c>
      <c r="E34" s="23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3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8">
        <f>Valuation!C71</f>
        <v/>
      </c>
      <c r="H69">
        <f>IF(B69="EV/sales",1,IF(B69="EV/EBIT",2,IF(B69="EV/EBITDA",IF(Valuation!E71="adjusted",4,3),IF(B69="P/E",5,6))))</f>
        <v/>
      </c>
      <c r="I69" s="50">
        <f>IF(AND(B69="P/E",Valuation!F71&lt;&gt;""),(Valuation!F71)*(1+$B$9),IF(AND(B69="FCF yield",Valuation!G71&lt;&gt;""),(Valuation!G71)*(1+$B$9),E69))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Copper (AECs, electrical ICs, IP): revenue growth</t>
        </is>
      </c>
      <c r="C131" s="18">
        <f>Model!E12+$B$4</f>
        <v/>
      </c>
      <c r="D131" s="18">
        <f>Model!F12+$B$4</f>
        <v/>
      </c>
      <c r="E131" s="18">
        <f>Model!G12+$B$4</f>
        <v/>
      </c>
    </row>
    <row r="132">
      <c r="A132" t="inlineStr">
        <is>
          <t>Copper (AECs, electrical ICs, IP): revenue</t>
        </is>
      </c>
      <c r="B132" s="10">
        <f>Valuation!$B$88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Copper (AECs, electrical ICs, IP): EBIT margin</t>
        </is>
      </c>
      <c r="C133" s="18">
        <f>Model!E14+$B$5</f>
        <v/>
      </c>
      <c r="D133" s="18">
        <f>Model!F14+$B$5</f>
        <v/>
      </c>
      <c r="E133" s="18">
        <f>Model!G14+$B$5</f>
        <v/>
      </c>
    </row>
    <row r="134">
      <c r="A134" t="inlineStr">
        <is>
          <t>Copper (AECs, electrical ICs, IP):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Optical (DSPs, SiPh PICs, ZF optics, ALC: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Optical (DSPs, SiPh PICs, ZF optics, ALC: revenue</t>
        </is>
      </c>
      <c r="B136" s="10">
        <f>Valuation!$B$89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Optical (DSPs, SiPh PICs, ZF optics, ALC: EBIT margin</t>
        </is>
      </c>
      <c r="C137" s="18">
        <f>Model!E18+$B$5</f>
        <v/>
      </c>
      <c r="D137" s="18">
        <f>Model!F18+$B$5</f>
        <v/>
      </c>
      <c r="E137" s="18">
        <f>Model!G18+$B$5</f>
        <v/>
      </c>
    </row>
    <row r="138">
      <c r="A138" t="inlineStr">
        <is>
          <t>Optical (DSPs, SiPh PICs, ZF optics, ALC: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s="19" t="inlineStr">
        <is>
          <t>Total segment revenue</t>
        </is>
      </c>
      <c r="C139" s="23">
        <f>C132+C136</f>
        <v/>
      </c>
      <c r="D139" s="23">
        <f>D132+D136</f>
        <v/>
      </c>
      <c r="E139" s="23">
        <f>E132+E136</f>
        <v/>
      </c>
    </row>
    <row r="140">
      <c r="A140" t="inlineStr">
        <is>
          <t>Total segment EBIT</t>
        </is>
      </c>
      <c r="C140" s="23">
        <f>C134+C138</f>
        <v/>
      </c>
      <c r="D140" s="23">
        <f>D134+D138</f>
        <v/>
      </c>
      <c r="E140" s="23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9" t="inlineStr">
        <is>
          <t>EBIT (segments + corporate)</t>
        </is>
      </c>
      <c r="C142" s="23">
        <f>C140+C141</f>
        <v/>
      </c>
      <c r="D142" s="23">
        <f>D140+D141</f>
        <v/>
      </c>
      <c r="E142" s="23">
        <f>E140+E141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7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CRDO engine calculation: bear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N(Valuation!C83)</f>
        <v/>
      </c>
    </row>
    <row r="5">
      <c r="A5" t="inlineStr">
        <is>
          <t>Scenario Margin Δ</t>
        </is>
      </c>
      <c r="B5" s="12">
        <f>N(Valuation!D83)</f>
        <v/>
      </c>
    </row>
    <row r="6">
      <c r="A6" t="inlineStr">
        <is>
          <t>Scenario Multiple Δ (turns)</t>
        </is>
      </c>
      <c r="B6" s="51">
        <f>N(Valuation!E83)</f>
        <v/>
      </c>
    </row>
    <row r="7">
      <c r="A7" t="inlineStr">
        <is>
          <t>Scenario WACC Δ</t>
        </is>
      </c>
      <c r="B7" s="12">
        <f>N(Valuation!F83)</f>
        <v/>
      </c>
    </row>
    <row r="8">
      <c r="A8" t="inlineStr">
        <is>
          <t>Scenario Multiple %Δ</t>
        </is>
      </c>
      <c r="B8" s="12">
        <f>N(Valuation!G83)</f>
        <v/>
      </c>
    </row>
    <row r="9">
      <c r="A9" t="inlineStr">
        <is>
          <t>Scenario Stated EPS/FCF %Δ</t>
        </is>
      </c>
      <c r="B9" s="12">
        <f>N(Valuation!H83)</f>
        <v/>
      </c>
    </row>
    <row r="10">
      <c r="A10" t="inlineStr">
        <is>
          <t>Scenario Custom %Δ</t>
        </is>
      </c>
      <c r="B10" s="12">
        <f>N(Valuation!I83)</f>
        <v/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C139</f>
        <v/>
      </c>
      <c r="D22" s="23">
        <f>D139</f>
        <v/>
      </c>
      <c r="E22" s="23">
        <f>E139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C142</f>
        <v/>
      </c>
      <c r="D24" s="23">
        <f>D142</f>
        <v/>
      </c>
      <c r="E24" s="23">
        <f>E142</f>
        <v/>
      </c>
    </row>
    <row r="25">
      <c r="A25" t="inlineStr">
        <is>
          <t>Tax rate</t>
        </is>
      </c>
      <c r="C25" s="18">
        <f>Model!E63</f>
        <v/>
      </c>
      <c r="D25" s="18">
        <f>Model!F63</f>
        <v/>
      </c>
      <c r="E25" s="18">
        <f>Model!G63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C22*(Model!E64)</f>
        <v/>
      </c>
      <c r="D27" s="23">
        <f>D22*(Model!F64)</f>
        <v/>
      </c>
      <c r="E27" s="23">
        <f>E22*(Model!G64)</f>
        <v/>
      </c>
    </row>
    <row r="28">
      <c r="A28" t="inlineStr">
        <is>
          <t>Capex</t>
        </is>
      </c>
      <c r="C28" s="23">
        <f>C22*(Model!E65)</f>
        <v/>
      </c>
      <c r="D28" s="23">
        <f>D22*(Model!F65)</f>
        <v/>
      </c>
      <c r="E28" s="23">
        <f>E22*(Model!G65)</f>
        <v/>
      </c>
    </row>
    <row r="29">
      <c r="A29" t="inlineStr">
        <is>
          <t>Working capital increase</t>
        </is>
      </c>
      <c r="C29" s="23">
        <f>(Model!E66)*(C22-B22)</f>
        <v/>
      </c>
      <c r="D29" s="23">
        <f>(Model!F66)*(D22-C22)</f>
        <v/>
      </c>
      <c r="E29" s="23">
        <f>(Model!G66)*(E22-D22)</f>
        <v/>
      </c>
    </row>
    <row r="30">
      <c r="A30" t="inlineStr">
        <is>
          <t>Stock comp</t>
        </is>
      </c>
      <c r="C30" s="23">
        <f>C22*(Model!E67)</f>
        <v/>
      </c>
      <c r="D30" s="23">
        <f>D22*(Model!F67)</f>
        <v/>
      </c>
      <c r="E30" s="23">
        <f>E22*(Model!G67)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C24+C27+C22*(Model!E71)</f>
        <v/>
      </c>
      <c r="D33" s="23">
        <f>D24+D27+D22*(Model!F71)</f>
        <v/>
      </c>
      <c r="E33" s="23">
        <f>E24+E27+E22*(Model!G71)</f>
        <v/>
      </c>
    </row>
    <row r="34">
      <c r="A34" t="inlineStr">
        <is>
          <t>Shareholder returns + other uses</t>
        </is>
      </c>
      <c r="C34" s="23">
        <f>C22*Model!E69+Model!E68+Model!E70</f>
        <v/>
      </c>
      <c r="D34" s="23">
        <f>D22*Model!F69+Model!F68+Model!F70</f>
        <v/>
      </c>
      <c r="E34" s="23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3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8">
        <f>Valuation!C71</f>
        <v/>
      </c>
      <c r="H69">
        <f>IF(B69="EV/sales",1,IF(B69="EV/EBIT",2,IF(B69="EV/EBITDA",IF(Valuation!E71="adjusted",4,3),IF(B69="P/E",5,6))))</f>
        <v/>
      </c>
      <c r="I69" s="50">
        <f>IF(AND(B69="P/E",Valuation!F71&lt;&gt;""),(Valuation!F71)*(1+$B$9),IF(AND(B69="FCF yield",Valuation!G71&lt;&gt;""),(Valuation!G71)*(1+$B$9),E69))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Copper (AECs, electrical ICs, IP): revenue growth</t>
        </is>
      </c>
      <c r="C131" s="18">
        <f>Model!E12+$B$4+$B$250</f>
        <v/>
      </c>
      <c r="D131" s="18">
        <f>Model!F12+$B$4</f>
        <v/>
      </c>
      <c r="E131" s="18">
        <f>Model!G12+$B$4</f>
        <v/>
      </c>
    </row>
    <row r="132">
      <c r="A132" t="inlineStr">
        <is>
          <t>Copper (AECs, electrical ICs, IP): revenue</t>
        </is>
      </c>
      <c r="B132" s="10">
        <f>Valuation!$B$88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Copper (AECs, electrical ICs, IP): EBIT margin</t>
        </is>
      </c>
      <c r="C133" s="18">
        <f>Model!E14+$B$5+$B$251</f>
        <v/>
      </c>
      <c r="D133" s="18">
        <f>Model!F14+$B$5+$B$252</f>
        <v/>
      </c>
      <c r="E133" s="18">
        <f>Model!G14+$B$5+$B$253</f>
        <v/>
      </c>
    </row>
    <row r="134">
      <c r="A134" t="inlineStr">
        <is>
          <t>Copper (AECs, electrical ICs, IP):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Optical (DSPs, SiPh PICs, ZF optics, ALC: revenue growth</t>
        </is>
      </c>
      <c r="C135" s="18">
        <f>Model!E16+$B$4+$B$254</f>
        <v/>
      </c>
      <c r="D135" s="18">
        <f>Model!F16+$B$4</f>
        <v/>
      </c>
      <c r="E135" s="18">
        <f>Model!G16+$B$4</f>
        <v/>
      </c>
    </row>
    <row r="136">
      <c r="A136" t="inlineStr">
        <is>
          <t>Optical (DSPs, SiPh PICs, ZF optics, ALC: revenue</t>
        </is>
      </c>
      <c r="B136" s="10">
        <f>Valuation!$B$89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Optical (DSPs, SiPh PICs, ZF optics, ALC: EBIT margin</t>
        </is>
      </c>
      <c r="C137" s="18">
        <f>Model!E18+$B$5+$B$255</f>
        <v/>
      </c>
      <c r="D137" s="18">
        <f>Model!F18+$B$5+$B$256</f>
        <v/>
      </c>
      <c r="E137" s="18">
        <f>Model!G18+$B$5+$B$257</f>
        <v/>
      </c>
    </row>
    <row r="138">
      <c r="A138" t="inlineStr">
        <is>
          <t>Optical (DSPs, SiPh PICs, ZF optics, ALC: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s="19" t="inlineStr">
        <is>
          <t>Total segment revenue</t>
        </is>
      </c>
      <c r="C139" s="23">
        <f>C132+C136</f>
        <v/>
      </c>
      <c r="D139" s="23">
        <f>D132+D136</f>
        <v/>
      </c>
      <c r="E139" s="23">
        <f>E132+E136</f>
        <v/>
      </c>
    </row>
    <row r="140">
      <c r="A140" t="inlineStr">
        <is>
          <t>Total segment EBIT</t>
        </is>
      </c>
      <c r="C140" s="23">
        <f>C134+C138</f>
        <v/>
      </c>
      <c r="D140" s="23">
        <f>D134+D138</f>
        <v/>
      </c>
      <c r="E140" s="23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9" t="inlineStr">
        <is>
          <t>EBIT (segments + corporate)</t>
        </is>
      </c>
      <c r="C142" s="23">
        <f>C140+C141</f>
        <v/>
      </c>
      <c r="D142" s="23">
        <f>D140+D141</f>
        <v/>
      </c>
      <c r="E142" s="23">
        <f>E140+E141</f>
        <v/>
      </c>
    </row>
    <row r="249">
      <c r="A249" s="19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Copper (AECs, electrical ICs, IP): revenue growth, year 1</t>
        </is>
      </c>
      <c r="B250" s="52" t="n">
        <v>-0.349000098850246</v>
      </c>
    </row>
    <row r="251">
      <c r="A251" t="inlineStr">
        <is>
          <t>Copper (AECs, electrical ICs, IP): EBIT margin, year 1</t>
        </is>
      </c>
      <c r="B251" s="52" t="n">
        <v>-0.08333960284305436</v>
      </c>
    </row>
    <row r="252">
      <c r="A252" t="inlineStr">
        <is>
          <t>Copper (AECs, electrical ICs, IP): EBIT margin, year 2</t>
        </is>
      </c>
      <c r="B252" s="52" t="n">
        <v>-0.08140206295157904</v>
      </c>
    </row>
    <row r="253">
      <c r="A253" t="inlineStr">
        <is>
          <t>Copper (AECs, electrical ICs, IP): EBIT margin, year 3</t>
        </is>
      </c>
      <c r="B253" s="52" t="n">
        <v>-0.08065651538446539</v>
      </c>
    </row>
    <row r="254">
      <c r="A254" t="inlineStr">
        <is>
          <t>Optical (DSPs, SiPh PICs, ZF optics, ALC: revenue growth, year 1</t>
        </is>
      </c>
      <c r="B254" s="52" t="n">
        <v>-2.445982881943333</v>
      </c>
    </row>
    <row r="255">
      <c r="A255" t="inlineStr">
        <is>
          <t>Optical (DSPs, SiPh PICs, ZF optics, ALC: EBIT margin, year 1</t>
        </is>
      </c>
      <c r="B255" s="52" t="n">
        <v>-0.08333960284305436</v>
      </c>
    </row>
    <row r="256">
      <c r="A256" t="inlineStr">
        <is>
          <t>Optical (DSPs, SiPh PICs, ZF optics, ALC: EBIT margin, year 2</t>
        </is>
      </c>
      <c r="B256" s="52" t="n">
        <v>-0.0814020629515792</v>
      </c>
    </row>
    <row r="257">
      <c r="A257" t="inlineStr">
        <is>
          <t>Optical (DSPs, SiPh PICs, ZF optics, ALC: EBIT margin, year 3</t>
        </is>
      </c>
      <c r="B257" s="52" t="n">
        <v>-0.08065651538446539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2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CRDO engine calculation: base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N(Valuation!C84)</f>
        <v/>
      </c>
    </row>
    <row r="5">
      <c r="A5" t="inlineStr">
        <is>
          <t>Scenario Margin Δ</t>
        </is>
      </c>
      <c r="B5" s="12">
        <f>N(Valuation!D84)</f>
        <v/>
      </c>
    </row>
    <row r="6">
      <c r="A6" t="inlineStr">
        <is>
          <t>Scenario Multiple Δ (turns)</t>
        </is>
      </c>
      <c r="B6" s="51">
        <f>N(Valuation!E84)</f>
        <v/>
      </c>
    </row>
    <row r="7">
      <c r="A7" t="inlineStr">
        <is>
          <t>Scenario WACC Δ</t>
        </is>
      </c>
      <c r="B7" s="12">
        <f>N(Valuation!F84)</f>
        <v/>
      </c>
    </row>
    <row r="8">
      <c r="A8" t="inlineStr">
        <is>
          <t>Scenario Multiple %Δ</t>
        </is>
      </c>
      <c r="B8" s="12">
        <f>N(Valuation!G84)</f>
        <v/>
      </c>
    </row>
    <row r="9">
      <c r="A9" t="inlineStr">
        <is>
          <t>Scenario Stated EPS/FCF %Δ</t>
        </is>
      </c>
      <c r="B9" s="12">
        <f>N(Valuation!H84)</f>
        <v/>
      </c>
    </row>
    <row r="10">
      <c r="A10" t="inlineStr">
        <is>
          <t>Scenario Custom %Δ</t>
        </is>
      </c>
      <c r="B10" s="12">
        <f>N(Valuation!I84)</f>
        <v/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C139</f>
        <v/>
      </c>
      <c r="D22" s="23">
        <f>D139</f>
        <v/>
      </c>
      <c r="E22" s="23">
        <f>E139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C142</f>
        <v/>
      </c>
      <c r="D24" s="23">
        <f>D142</f>
        <v/>
      </c>
      <c r="E24" s="23">
        <f>E142</f>
        <v/>
      </c>
    </row>
    <row r="25">
      <c r="A25" t="inlineStr">
        <is>
          <t>Tax rate</t>
        </is>
      </c>
      <c r="C25" s="18">
        <f>Model!E63</f>
        <v/>
      </c>
      <c r="D25" s="18">
        <f>Model!F63</f>
        <v/>
      </c>
      <c r="E25" s="18">
        <f>Model!G63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C22*(Model!E64)</f>
        <v/>
      </c>
      <c r="D27" s="23">
        <f>D22*(Model!F64)</f>
        <v/>
      </c>
      <c r="E27" s="23">
        <f>E22*(Model!G64)</f>
        <v/>
      </c>
    </row>
    <row r="28">
      <c r="A28" t="inlineStr">
        <is>
          <t>Capex</t>
        </is>
      </c>
      <c r="C28" s="23">
        <f>C22*(Model!E65)</f>
        <v/>
      </c>
      <c r="D28" s="23">
        <f>D22*(Model!F65)</f>
        <v/>
      </c>
      <c r="E28" s="23">
        <f>E22*(Model!G65)</f>
        <v/>
      </c>
    </row>
    <row r="29">
      <c r="A29" t="inlineStr">
        <is>
          <t>Working capital increase</t>
        </is>
      </c>
      <c r="C29" s="23">
        <f>(Model!E66)*(C22-B22)</f>
        <v/>
      </c>
      <c r="D29" s="23">
        <f>(Model!F66)*(D22-C22)</f>
        <v/>
      </c>
      <c r="E29" s="23">
        <f>(Model!G66)*(E22-D22)</f>
        <v/>
      </c>
    </row>
    <row r="30">
      <c r="A30" t="inlineStr">
        <is>
          <t>Stock comp</t>
        </is>
      </c>
      <c r="C30" s="23">
        <f>C22*(Model!E67)</f>
        <v/>
      </c>
      <c r="D30" s="23">
        <f>D22*(Model!F67)</f>
        <v/>
      </c>
      <c r="E30" s="23">
        <f>E22*(Model!G67)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C24+C27+C22*(Model!E71)</f>
        <v/>
      </c>
      <c r="D33" s="23">
        <f>D24+D27+D22*(Model!F71)</f>
        <v/>
      </c>
      <c r="E33" s="23">
        <f>E24+E27+E22*(Model!G71)</f>
        <v/>
      </c>
    </row>
    <row r="34">
      <c r="A34" t="inlineStr">
        <is>
          <t>Shareholder returns + other uses</t>
        </is>
      </c>
      <c r="C34" s="23">
        <f>C22*Model!E69+Model!E68+Model!E70</f>
        <v/>
      </c>
      <c r="D34" s="23">
        <f>D22*Model!F69+Model!F68+Model!F70</f>
        <v/>
      </c>
      <c r="E34" s="23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3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8">
        <f>Valuation!C71</f>
        <v/>
      </c>
      <c r="H69">
        <f>IF(B69="EV/sales",1,IF(B69="EV/EBIT",2,IF(B69="EV/EBITDA",IF(Valuation!E71="adjusted",4,3),IF(B69="P/E",5,6))))</f>
        <v/>
      </c>
      <c r="I69" s="50">
        <f>IF(AND(B69="P/E",Valuation!F71&lt;&gt;""),(Valuation!F71)*(1+$B$9),IF(AND(B69="FCF yield",Valuation!G71&lt;&gt;""),(Valuation!G71)*(1+$B$9),E69))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Copper (AECs, electrical ICs, IP): revenue growth</t>
        </is>
      </c>
      <c r="C131" s="18">
        <f>Model!E12+$B$4</f>
        <v/>
      </c>
      <c r="D131" s="18">
        <f>Model!F12+$B$4</f>
        <v/>
      </c>
      <c r="E131" s="18">
        <f>Model!G12+$B$4</f>
        <v/>
      </c>
    </row>
    <row r="132">
      <c r="A132" t="inlineStr">
        <is>
          <t>Copper (AECs, electrical ICs, IP): revenue</t>
        </is>
      </c>
      <c r="B132" s="10">
        <f>Valuation!$B$88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Copper (AECs, electrical ICs, IP): EBIT margin</t>
        </is>
      </c>
      <c r="C133" s="18">
        <f>Model!E14+$B$5</f>
        <v/>
      </c>
      <c r="D133" s="18">
        <f>Model!F14+$B$5</f>
        <v/>
      </c>
      <c r="E133" s="18">
        <f>Model!G14+$B$5</f>
        <v/>
      </c>
    </row>
    <row r="134">
      <c r="A134" t="inlineStr">
        <is>
          <t>Copper (AECs, electrical ICs, IP):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Optical (DSPs, SiPh PICs, ZF optics, ALC: revenue growth</t>
        </is>
      </c>
      <c r="C135" s="18">
        <f>Model!E16+$B$4</f>
        <v/>
      </c>
      <c r="D135" s="18">
        <f>Model!F16+$B$4</f>
        <v/>
      </c>
      <c r="E135" s="18">
        <f>Model!G16+$B$4</f>
        <v/>
      </c>
    </row>
    <row r="136">
      <c r="A136" t="inlineStr">
        <is>
          <t>Optical (DSPs, SiPh PICs, ZF optics, ALC: revenue</t>
        </is>
      </c>
      <c r="B136" s="10">
        <f>Valuation!$B$89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Optical (DSPs, SiPh PICs, ZF optics, ALC: EBIT margin</t>
        </is>
      </c>
      <c r="C137" s="18">
        <f>Model!E18+$B$5</f>
        <v/>
      </c>
      <c r="D137" s="18">
        <f>Model!F18+$B$5</f>
        <v/>
      </c>
      <c r="E137" s="18">
        <f>Model!G18+$B$5</f>
        <v/>
      </c>
    </row>
    <row r="138">
      <c r="A138" t="inlineStr">
        <is>
          <t>Optical (DSPs, SiPh PICs, ZF optics, ALC: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s="19" t="inlineStr">
        <is>
          <t>Total segment revenue</t>
        </is>
      </c>
      <c r="C139" s="23">
        <f>C132+C136</f>
        <v/>
      </c>
      <c r="D139" s="23">
        <f>D132+D136</f>
        <v/>
      </c>
      <c r="E139" s="23">
        <f>E132+E136</f>
        <v/>
      </c>
    </row>
    <row r="140">
      <c r="A140" t="inlineStr">
        <is>
          <t>Total segment EBIT</t>
        </is>
      </c>
      <c r="C140" s="23">
        <f>C134+C138</f>
        <v/>
      </c>
      <c r="D140" s="23">
        <f>D134+D138</f>
        <v/>
      </c>
      <c r="E140" s="23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9" t="inlineStr">
        <is>
          <t>EBIT (segments + corporate)</t>
        </is>
      </c>
      <c r="C142" s="23">
        <f>C140+C141</f>
        <v/>
      </c>
      <c r="D142" s="23">
        <f>D140+D141</f>
        <v/>
      </c>
      <c r="E142" s="23">
        <f>E140+E141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7"/>
  <sheetViews>
    <sheetView showGridLines="0" workbookViewId="0">
      <pane xSplit="1" ySplit="18" topLeftCell="B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CRDO engine calculation: bull scenario</t>
        </is>
      </c>
    </row>
    <row r="2">
      <c r="A2" s="2" t="inlineStr">
        <is>
          <t>Machinery behind the Valuation and Distribution tabs; drivers come from Model, assumptions from Valuation.</t>
        </is>
      </c>
    </row>
    <row r="4">
      <c r="A4" t="inlineStr">
        <is>
          <t>Scenario Growth Δ</t>
        </is>
      </c>
      <c r="B4" s="12">
        <f>N(Valuation!C85)</f>
        <v/>
      </c>
    </row>
    <row r="5">
      <c r="A5" t="inlineStr">
        <is>
          <t>Scenario Margin Δ</t>
        </is>
      </c>
      <c r="B5" s="12">
        <f>N(Valuation!D85)</f>
        <v/>
      </c>
    </row>
    <row r="6">
      <c r="A6" t="inlineStr">
        <is>
          <t>Scenario Multiple Δ (turns)</t>
        </is>
      </c>
      <c r="B6" s="51">
        <f>N(Valuation!E85)</f>
        <v/>
      </c>
    </row>
    <row r="7">
      <c r="A7" t="inlineStr">
        <is>
          <t>Scenario WACC Δ</t>
        </is>
      </c>
      <c r="B7" s="12">
        <f>N(Valuation!F85)</f>
        <v/>
      </c>
    </row>
    <row r="8">
      <c r="A8" t="inlineStr">
        <is>
          <t>Scenario Multiple %Δ</t>
        </is>
      </c>
      <c r="B8" s="12">
        <f>N(Valuation!G85)</f>
        <v/>
      </c>
    </row>
    <row r="9">
      <c r="A9" t="inlineStr">
        <is>
          <t>Scenario Stated EPS/FCF %Δ</t>
        </is>
      </c>
      <c r="B9" s="12">
        <f>N(Valuation!H85)</f>
        <v/>
      </c>
    </row>
    <row r="10">
      <c r="A10" t="inlineStr">
        <is>
          <t>Scenario Custom %Δ</t>
        </is>
      </c>
      <c r="B10" s="12">
        <f>N(Valuation!I85)</f>
        <v/>
      </c>
    </row>
    <row r="12">
      <c r="A12" t="inlineStr">
        <is>
          <t>WACC</t>
        </is>
      </c>
      <c r="B12" s="18">
        <f>Valuation!$B$51+B7</f>
        <v/>
      </c>
    </row>
    <row r="13">
      <c r="A13" t="inlineStr">
        <is>
          <t>Years from last FY end to target date</t>
        </is>
      </c>
      <c r="B13" s="49">
        <f>(Valuation!$B$45-Valuation!$B$49)/365.25</f>
        <v/>
      </c>
    </row>
    <row r="14">
      <c r="A14" t="inlineStr">
        <is>
          <t>Years from last FY end to balance date</t>
        </is>
      </c>
      <c r="B14" s="49">
        <f>(Valuation!$B$55-Valuation!$B$49)/365.25</f>
        <v/>
      </c>
    </row>
    <row r="15">
      <c r="A15" t="inlineStr">
        <is>
          <t>Years from last FY end to share count date</t>
        </is>
      </c>
      <c r="B15" s="49">
        <f>(Valuation!$B$61-Valuation!$B$49)/365.25</f>
        <v/>
      </c>
    </row>
    <row r="16">
      <c r="A16" t="inlineStr">
        <is>
          <t>Projected years</t>
        </is>
      </c>
      <c r="B16" t="n">
        <v>3</v>
      </c>
    </row>
    <row r="18">
      <c r="A18" s="3" t="inlineStr">
        <is>
          <t>Projection</t>
        </is>
      </c>
      <c r="B18" s="3" t="inlineStr">
        <is>
          <t>Base</t>
        </is>
      </c>
      <c r="C18" s="3">
        <f>Model!E5</f>
        <v/>
      </c>
      <c r="D18" s="3">
        <f>Model!F5</f>
        <v/>
      </c>
      <c r="E18" s="3">
        <f>Model!G5</f>
        <v/>
      </c>
    </row>
    <row r="19">
      <c r="A19" t="inlineStr">
        <is>
          <t>Year index</t>
        </is>
      </c>
      <c r="B19" t="n">
        <v>0</v>
      </c>
      <c r="C19" t="n">
        <v>1</v>
      </c>
      <c r="D19" t="n">
        <v>2</v>
      </c>
      <c r="E19" t="n">
        <v>3</v>
      </c>
    </row>
    <row r="20">
      <c r="A20" t="inlineStr">
        <is>
          <t>Period end</t>
        </is>
      </c>
      <c r="C20" s="20">
        <f>Valuation!$B$49+ROUND(365.25*C19,0)</f>
        <v/>
      </c>
      <c r="D20" s="20">
        <f>Valuation!$B$49+ROUND(365.25*D19,0)</f>
        <v/>
      </c>
      <c r="E20" s="20">
        <f>Valuation!$B$49+ROUND(365.25*E19,0)</f>
        <v/>
      </c>
    </row>
    <row r="21">
      <c r="A21" t="inlineStr">
        <is>
          <t>Revenue growth</t>
        </is>
      </c>
      <c r="C21" s="18">
        <f>C22/B22-1</f>
        <v/>
      </c>
      <c r="D21" s="18">
        <f>D22/C22-1</f>
        <v/>
      </c>
      <c r="E21" s="18">
        <f>E22/D22-1</f>
        <v/>
      </c>
    </row>
    <row r="22">
      <c r="A22" t="inlineStr">
        <is>
          <t>Revenue</t>
        </is>
      </c>
      <c r="B22" s="23">
        <f>Valuation!$B$50</f>
        <v/>
      </c>
      <c r="C22" s="23">
        <f>C139</f>
        <v/>
      </c>
      <c r="D22" s="23">
        <f>D139</f>
        <v/>
      </c>
      <c r="E22" s="23">
        <f>E139</f>
        <v/>
      </c>
    </row>
    <row r="23">
      <c r="A23" t="inlineStr">
        <is>
          <t>EBIT margin</t>
        </is>
      </c>
      <c r="C23" s="18">
        <f>C24/C22</f>
        <v/>
      </c>
      <c r="D23" s="18">
        <f>D24/D22</f>
        <v/>
      </c>
      <c r="E23" s="18">
        <f>E24/E22</f>
        <v/>
      </c>
    </row>
    <row r="24">
      <c r="A24" t="inlineStr">
        <is>
          <t>EBIT</t>
        </is>
      </c>
      <c r="C24" s="23">
        <f>C142</f>
        <v/>
      </c>
      <c r="D24" s="23">
        <f>D142</f>
        <v/>
      </c>
      <c r="E24" s="23">
        <f>E142</f>
        <v/>
      </c>
    </row>
    <row r="25">
      <c r="A25" t="inlineStr">
        <is>
          <t>Tax rate</t>
        </is>
      </c>
      <c r="C25" s="18">
        <f>Model!E63</f>
        <v/>
      </c>
      <c r="D25" s="18">
        <f>Model!F63</f>
        <v/>
      </c>
      <c r="E25" s="18">
        <f>Model!G63</f>
        <v/>
      </c>
    </row>
    <row r="26">
      <c r="A26" t="inlineStr">
        <is>
          <t>NOPAT</t>
        </is>
      </c>
      <c r="C26" s="23">
        <f>C24*(1-C25)</f>
        <v/>
      </c>
      <c r="D26" s="23">
        <f>D24*(1-D25)</f>
        <v/>
      </c>
      <c r="E26" s="23">
        <f>E24*(1-E25)</f>
        <v/>
      </c>
    </row>
    <row r="27">
      <c r="A27" t="inlineStr">
        <is>
          <t>D&amp;A</t>
        </is>
      </c>
      <c r="C27" s="23">
        <f>C22*(Model!E64)</f>
        <v/>
      </c>
      <c r="D27" s="23">
        <f>D22*(Model!F64)</f>
        <v/>
      </c>
      <c r="E27" s="23">
        <f>E22*(Model!G64)</f>
        <v/>
      </c>
    </row>
    <row r="28">
      <c r="A28" t="inlineStr">
        <is>
          <t>Capex</t>
        </is>
      </c>
      <c r="C28" s="23">
        <f>C22*(Model!E65)</f>
        <v/>
      </c>
      <c r="D28" s="23">
        <f>D22*(Model!F65)</f>
        <v/>
      </c>
      <c r="E28" s="23">
        <f>E22*(Model!G65)</f>
        <v/>
      </c>
    </row>
    <row r="29">
      <c r="A29" t="inlineStr">
        <is>
          <t>Working capital increase</t>
        </is>
      </c>
      <c r="C29" s="23">
        <f>(Model!E66)*(C22-B22)</f>
        <v/>
      </c>
      <c r="D29" s="23">
        <f>(Model!F66)*(D22-C22)</f>
        <v/>
      </c>
      <c r="E29" s="23">
        <f>(Model!G66)*(E22-D22)</f>
        <v/>
      </c>
    </row>
    <row r="30">
      <c r="A30" t="inlineStr">
        <is>
          <t>Stock comp</t>
        </is>
      </c>
      <c r="C30" s="23">
        <f>C22*(Model!E67)</f>
        <v/>
      </c>
      <c r="D30" s="23">
        <f>D22*(Model!F67)</f>
        <v/>
      </c>
      <c r="E30" s="23">
        <f>E22*(Model!G67)</f>
        <v/>
      </c>
    </row>
    <row r="31">
      <c r="A31" t="inlineStr">
        <is>
          <t>Free cash flow to firm</t>
        </is>
      </c>
      <c r="C31" s="23">
        <f>C26+C27-C28-C29-IF(AND(Valuation!$B$47="adjusted",Valuation!$B$48="cost"),C30*(1-C25),0)</f>
        <v/>
      </c>
      <c r="D31" s="23">
        <f>D26+D27-D28-D29-IF(AND(Valuation!$B$47="adjusted",Valuation!$B$48="cost"),D30*(1-D25),0)</f>
        <v/>
      </c>
      <c r="E31" s="23">
        <f>E26+E27-E28-E29-IF(AND(Valuation!$B$47="adjusted",Valuation!$B$48="cost"),E30*(1-E25),0)</f>
        <v/>
      </c>
    </row>
    <row r="32">
      <c r="A32" t="inlineStr">
        <is>
          <t>EBITDA</t>
        </is>
      </c>
      <c r="C32" s="23">
        <f>C24+C27</f>
        <v/>
      </c>
      <c r="D32" s="23">
        <f>D24+D27</f>
        <v/>
      </c>
      <c r="E32" s="23">
        <f>E24+E27</f>
        <v/>
      </c>
    </row>
    <row r="33">
      <c r="A33" t="inlineStr">
        <is>
          <t>Adj. EBITDA</t>
        </is>
      </c>
      <c r="C33" s="23">
        <f>C24+C27+C22*(Model!E71)</f>
        <v/>
      </c>
      <c r="D33" s="23">
        <f>D24+D27+D22*(Model!F71)</f>
        <v/>
      </c>
      <c r="E33" s="23">
        <f>E24+E27+E22*(Model!G71)</f>
        <v/>
      </c>
    </row>
    <row r="34">
      <c r="A34" t="inlineStr">
        <is>
          <t>Shareholder returns + other uses</t>
        </is>
      </c>
      <c r="C34" s="23">
        <f>C22*Model!E69+Model!E68+Model!E70</f>
        <v/>
      </c>
      <c r="D34" s="23">
        <f>D22*Model!F69+Model!F68+Model!F70</f>
        <v/>
      </c>
      <c r="E34" s="23">
        <f>E22*Model!G69+Model!G68+Model!G70</f>
        <v/>
      </c>
    </row>
    <row r="35">
      <c r="A35" t="inlineStr">
        <is>
          <t>Share of year after target date</t>
        </is>
      </c>
      <c r="C35" s="49">
        <f>IF(C19&lt;=$B$13,0,C19-MAX(C19-1,$B$13))</f>
        <v/>
      </c>
      <c r="D35" s="49">
        <f>IF(D19&lt;=$B$13,0,D19-MAX(D19-1,$B$13))</f>
        <v/>
      </c>
      <c r="E35" s="49">
        <f>IF(E19&lt;=$B$13,0,E19-MAX(E19-1,$B$13))</f>
        <v/>
      </c>
    </row>
    <row r="36">
      <c r="A36" t="inlineStr">
        <is>
          <t>PV at target date of FCFF</t>
        </is>
      </c>
      <c r="C36" s="23">
        <f>IF(C35=0,0,C31*C35/(1+$B$12)^(C19-$B$13))</f>
        <v/>
      </c>
      <c r="D36" s="23">
        <f>IF(D35=0,0,D31*D35/(1+$B$12)^(D19-$B$13))</f>
        <v/>
      </c>
      <c r="E36" s="23">
        <f>IF(E35=0,0,E31*E35/(1+$B$12)^(E19-$B$13))</f>
        <v/>
      </c>
    </row>
    <row r="37">
      <c r="A37" t="inlineStr">
        <is>
          <t>Overlap: balance date to target date</t>
        </is>
      </c>
      <c r="C37" s="49">
        <f>MAX(0,MIN(C19,$B$13)-MAX(C19-1,$B$14))</f>
        <v/>
      </c>
      <c r="D37" s="49">
        <f>MAX(0,MIN(D19,$B$13)-MAX(D19-1,$B$14))</f>
        <v/>
      </c>
      <c r="E37" s="49">
        <f>MAX(0,MIN(E19,$B$13)-MAX(E19-1,$B$14))</f>
        <v/>
      </c>
    </row>
    <row r="38">
      <c r="A38" t="inlineStr">
        <is>
          <t>NTM weight at target date</t>
        </is>
      </c>
      <c r="C38" s="49">
        <f>MAX(0,MIN(C19,$B$13+1)-MAX(C19-1,$B$13))</f>
        <v/>
      </c>
      <c r="D38" s="49">
        <f>MAX(0,MIN(D19,$B$13+1)-MAX(D19-1,$B$13))</f>
        <v/>
      </c>
      <c r="E38" s="49">
        <f>MAX(0,MIN(E19,$B$13+1)-MAX(E19-1,$B$13))</f>
        <v/>
      </c>
    </row>
    <row r="39">
      <c r="A39" t="inlineStr">
        <is>
          <t>LTM weight at target date</t>
        </is>
      </c>
      <c r="B39" s="49">
        <f>MAX(0,MIN(0,$B$13)-MAX(-1,$B$13-1))</f>
        <v/>
      </c>
      <c r="C39" s="49">
        <f>MAX(0,MIN(C19,$B$13)-MAX(C19-1,$B$13-1))</f>
        <v/>
      </c>
      <c r="D39" s="49">
        <f>MAX(0,MIN(D19,$B$13)-MAX(D19-1,$B$13-1))</f>
        <v/>
      </c>
      <c r="E39" s="49">
        <f>MAX(0,MIN(E19,$B$13)-MAX(E19-1,$B$13-1))</f>
        <v/>
      </c>
    </row>
    <row r="41">
      <c r="A41" s="19" t="inlineStr">
        <is>
          <t>Value at the target date</t>
        </is>
      </c>
    </row>
    <row r="42">
      <c r="A42" t="inlineStr">
        <is>
          <t>PV of free cash flow after the target date</t>
        </is>
      </c>
      <c r="B42" s="23">
        <f>SUM($C$36:$E$36)</f>
        <v/>
      </c>
    </row>
    <row r="43">
      <c r="A43" t="inlineStr">
        <is>
          <t>Terminal value at final year</t>
        </is>
      </c>
      <c r="B43" s="23">
        <f>IF(Valuation!$B$52="exit_multiple",Valuation!$B$54*E32,E31*(1+Valuation!$B$53)/($B$12-Valuation!$B$53))</f>
        <v/>
      </c>
    </row>
    <row r="44">
      <c r="A44" t="inlineStr">
        <is>
          <t>PV of terminal value at target date</t>
        </is>
      </c>
      <c r="B44" s="23">
        <f>B43/(1+$B$12)^($B$16-$B$13)</f>
        <v/>
      </c>
    </row>
    <row r="45">
      <c r="A45" t="inlineStr">
        <is>
          <t>DCF enterprise value at target date</t>
        </is>
      </c>
      <c r="B45" s="23">
        <f>B42+B44</f>
        <v/>
      </c>
    </row>
    <row r="46">
      <c r="A46" t="inlineStr">
        <is>
          <t>Terminal value share of DCF</t>
        </is>
      </c>
      <c r="B46" s="18">
        <f>B44/B45</f>
        <v/>
      </c>
    </row>
    <row r="47">
      <c r="A47" t="inlineStr">
        <is>
          <t>Free cash flow earned, balance date to target date</t>
        </is>
      </c>
      <c r="B47" s="23">
        <f>SUMPRODUCT($C$37:$E$37,$C$31:$E$31)</f>
        <v/>
      </c>
    </row>
    <row r="48">
      <c r="A48" t="inlineStr">
        <is>
          <t>Shareholder returns + other uses paid</t>
        </is>
      </c>
      <c r="B48" s="23">
        <f>SUMPRODUCT($C$37:$E$37,$C$34:$E$34)</f>
        <v/>
      </c>
    </row>
    <row r="49">
      <c r="A49" t="inlineStr">
        <is>
          <t>Interest drag on net debt</t>
        </is>
      </c>
      <c r="B49" s="23">
        <f>Valuation!$B$58*(1-$C$25)*MAX(Valuation!$B$56,0)*MAX($B$13-$B$14,0)</f>
        <v/>
      </c>
    </row>
    <row r="50">
      <c r="A50" t="inlineStr">
        <is>
          <t>Net debt at target date</t>
        </is>
      </c>
      <c r="B50" s="23">
        <f>IF(Valuation!$B$59="",Valuation!$B$56-B47+B49+B48,Valuation!$B$59)</f>
        <v/>
      </c>
    </row>
    <row r="51">
      <c r="A51" t="inlineStr">
        <is>
          <t>Minority interests</t>
        </is>
      </c>
      <c r="B51" s="23">
        <f>Valuation!$B$57</f>
        <v/>
      </c>
    </row>
    <row r="52">
      <c r="A52" t="inlineStr">
        <is>
          <t>Adjustments (probability-weighted)</t>
        </is>
      </c>
      <c r="B52" s="23">
        <f>0</f>
        <v/>
      </c>
    </row>
    <row r="53">
      <c r="A53" t="inlineStr">
        <is>
          <t>Diluted shares at target date (M)</t>
        </is>
      </c>
      <c r="B53" s="28">
        <f>IF(Valuation!$B$63="",Valuation!$B$60*(1+Valuation!$B$62)^MAX($B$13-$B$15,0),Valuation!$B$63)</f>
        <v/>
      </c>
    </row>
    <row r="54">
      <c r="A54" t="inlineStr">
        <is>
          <t>After-tax interest on target-date net debt</t>
        </is>
      </c>
      <c r="B54" s="23">
        <f>Valuation!$B$58*(1-$C$25)*MAX(B50,0)</f>
        <v/>
      </c>
    </row>
    <row r="55">
      <c r="A55" t="inlineStr">
        <is>
          <t>Check: WACC vs terminal growth</t>
        </is>
      </c>
      <c r="B55">
        <f>IF(AND(Valuation!$B$52&lt;&gt;"exit_multiple",$B$12&lt;=Valuation!$B$53+0.01),"WACC must exceed terminal growth by 1 point","ok")</f>
        <v/>
      </c>
    </row>
    <row r="56">
      <c r="A56" t="inlineStr">
        <is>
          <t>Check: projection length</t>
        </is>
      </c>
      <c r="B56">
        <f>IF(OR($B$13&gt;=$B$16-1,$B$13+1&gt;$B$16),"add projected years past the target date","ok")</f>
        <v/>
      </c>
    </row>
    <row r="58">
      <c r="A58" s="3" t="inlineStr">
        <is>
          <t>Metric at target date</t>
        </is>
      </c>
      <c r="B58" s="3" t="inlineStr">
        <is>
          <t>Next 12 months</t>
        </is>
      </c>
      <c r="C58" s="3" t="inlineStr">
        <is>
          <t>Last 12 months</t>
        </is>
      </c>
    </row>
    <row r="59">
      <c r="A59" t="inlineStr">
        <is>
          <t>Revenue</t>
        </is>
      </c>
      <c r="B59" s="23">
        <f>SUMPRODUCT($C$38:$E$38,$C$22:$E$22)</f>
        <v/>
      </c>
      <c r="C59" s="23">
        <f>SUMPRODUCT($C$39:$E$39,$C$22:$E$22)+$B$39*$B$22</f>
        <v/>
      </c>
    </row>
    <row r="60">
      <c r="A60" t="inlineStr">
        <is>
          <t>EBIT</t>
        </is>
      </c>
      <c r="B60" s="23">
        <f>SUMPRODUCT($C$38:$E$38,$C$24:$E$24)</f>
        <v/>
      </c>
      <c r="C60" s="23">
        <f>SUMPRODUCT($C$39:$E$39,$C$24:$E$24)</f>
        <v/>
      </c>
    </row>
    <row r="61">
      <c r="A61" t="inlineStr">
        <is>
          <t>EBITDA</t>
        </is>
      </c>
      <c r="B61" s="23">
        <f>SUMPRODUCT($C$38:$E$38,$C$32:$E$32)</f>
        <v/>
      </c>
      <c r="C61" s="23">
        <f>SUMPRODUCT($C$39:$E$39,$C$32:$E$32)</f>
        <v/>
      </c>
    </row>
    <row r="62">
      <c r="A62" t="inlineStr">
        <is>
          <t>Adj. EBITDA</t>
        </is>
      </c>
      <c r="B62" s="23">
        <f>SUMPRODUCT($C$38:$E$38,$C$33:$E$33)</f>
        <v/>
      </c>
      <c r="C62" s="23">
        <f>SUMPRODUCT($C$39:$E$39,$C$33:$E$33)</f>
        <v/>
      </c>
    </row>
    <row r="63">
      <c r="A63" t="inlineStr">
        <is>
          <t>NOPAT</t>
        </is>
      </c>
      <c r="B63" s="23">
        <f>SUMPRODUCT($C$38:$E$38,$C$26:$E$26)</f>
        <v/>
      </c>
      <c r="C63" s="23">
        <f>SUMPRODUCT($C$39:$E$39,$C$26:$E$26)</f>
        <v/>
      </c>
    </row>
    <row r="64">
      <c r="A64" t="inlineStr">
        <is>
          <t>Free cash flow to firm</t>
        </is>
      </c>
      <c r="B64" s="23">
        <f>SUMPRODUCT($C$38:$E$38,$C$31:$E$31)</f>
        <v/>
      </c>
      <c r="C64" s="23">
        <f>SUMPRODUCT($C$39:$E$39,$C$31:$E$31)</f>
        <v/>
      </c>
    </row>
    <row r="66">
      <c r="A66" s="3" t="inlineStr">
        <is>
          <t>Valuation method</t>
        </is>
      </c>
      <c r="B66" s="3" t="inlineStr">
        <is>
          <t>Metric</t>
        </is>
      </c>
      <c r="C66" s="3" t="inlineStr">
        <is>
          <t>Multiple used</t>
        </is>
      </c>
      <c r="D66" s="3" t="inlineStr">
        <is>
          <t>Basis</t>
        </is>
      </c>
      <c r="E66" s="3" t="inlineStr">
        <is>
          <t>Metric at target date</t>
        </is>
      </c>
      <c r="F66" s="3" t="inlineStr">
        <is>
          <t>Value per share</t>
        </is>
      </c>
      <c r="G66" s="3" t="inlineStr">
        <is>
          <t>Weight</t>
        </is>
      </c>
      <c r="H66" s="3" t="inlineStr">
        <is>
          <t>Metric key</t>
        </is>
      </c>
      <c r="I66" s="3" t="inlineStr">
        <is>
          <t>Metric shown (stated per-share figure when used)</t>
        </is>
      </c>
    </row>
    <row r="67">
      <c r="A67" t="inlineStr">
        <is>
          <t>DCF (cash flow to target date + terminal)</t>
        </is>
      </c>
      <c r="F67" s="9">
        <f>((B45)-$B$50-$B$51+$B$52)/$B$53</f>
        <v/>
      </c>
      <c r="G67" s="18">
        <f>Valuation!$B$64</f>
        <v/>
      </c>
    </row>
    <row r="68">
      <c r="A68">
        <f>"Multiple: "&amp;Valuation!A70&amp;" ("&amp;Valuation!D70&amp;")"</f>
        <v/>
      </c>
      <c r="B68">
        <f>Valuation!A70</f>
        <v/>
      </c>
      <c r="C68" s="9">
        <f>IF(B68="FCF yield",(Valuation!B70)*(1-$B$8),(Valuation!B70)+IF(B68="EV/sales",0.1,1)*$B$6)</f>
        <v/>
      </c>
      <c r="D68">
        <f>Valuation!D70</f>
        <v/>
      </c>
      <c r="E68" s="23">
        <f>IF(D68="ltm",CHOOSE(H68,$C$59,$C$60,$C$61,$C$62,$C$63,$C$64),CHOOSE(H68,$B$59,$B$60,$B$61,$B$62,$B$63,$B$64))</f>
        <v/>
      </c>
      <c r="F68" s="9">
        <f>IF(OR(B68="EV/EBITDA",B68="EV/sales",B68="EV/EBIT"),((C68*E68)-$B$50-$B$51+$B$52)/$B$53,IF(B68="P/E",IF(Valuation!F70&lt;&gt;"",C68*(Valuation!F70)*(1+$B$9),C68*(E68-$B$54)/$B$53),IF(Valuation!G70&lt;&gt;"",(Valuation!G70)*(1+$B$9)/C68,(E68-IF(Valuation!H70,$B$54,0))/C68/$B$53))+$B$52/$B$53)</f>
        <v/>
      </c>
      <c r="G68" s="18">
        <f>Valuation!C70</f>
        <v/>
      </c>
      <c r="H68">
        <f>IF(B68="EV/sales",1,IF(B68="EV/EBIT",2,IF(B68="EV/EBITDA",IF(Valuation!E70="adjusted",4,3),IF(B68="P/E",5,6))))</f>
        <v/>
      </c>
      <c r="I68" s="50">
        <f>IF(AND(B68="P/E",Valuation!F70&lt;&gt;""),(Valuation!F70)*(1+$B$9),IF(AND(B68="FCF yield",Valuation!G70&lt;&gt;""),(Valuation!G70)*(1+$B$9),E68))</f>
        <v/>
      </c>
    </row>
    <row r="69">
      <c r="A69">
        <f>"Multiple: "&amp;Valuation!A71&amp;" ("&amp;Valuation!D71&amp;")"</f>
        <v/>
      </c>
      <c r="B69">
        <f>Valuation!A71</f>
        <v/>
      </c>
      <c r="C69" s="9">
        <f>IF(B69="FCF yield",(Valuation!B71)*(1-$B$8),(Valuation!B71)+IF(B69="EV/sales",0.1,1)*$B$6)</f>
        <v/>
      </c>
      <c r="D69">
        <f>Valuation!D71</f>
        <v/>
      </c>
      <c r="E69" s="23">
        <f>IF(D69="ltm",CHOOSE(H69,$C$59,$C$60,$C$61,$C$62,$C$63,$C$64),CHOOSE(H69,$B$59,$B$60,$B$61,$B$62,$B$63,$B$64))</f>
        <v/>
      </c>
      <c r="F69" s="9">
        <f>IF(OR(B69="EV/EBITDA",B69="EV/sales",B69="EV/EBIT"),((C69*E69)-$B$50-$B$51+$B$52)/$B$53,IF(B69="P/E",IF(Valuation!F71&lt;&gt;"",C69*(Valuation!F71)*(1+$B$9),C69*(E69-$B$54)/$B$53),IF(Valuation!G71&lt;&gt;"",(Valuation!G71)*(1+$B$9)/C69,(E69-IF(Valuation!H71,$B$54,0))/C69/$B$53))+$B$52/$B$53)</f>
        <v/>
      </c>
      <c r="G69" s="18">
        <f>Valuation!C71</f>
        <v/>
      </c>
      <c r="H69">
        <f>IF(B69="EV/sales",1,IF(B69="EV/EBIT",2,IF(B69="EV/EBITDA",IF(Valuation!E71="adjusted",4,3),IF(B69="P/E",5,6))))</f>
        <v/>
      </c>
      <c r="I69" s="50">
        <f>IF(AND(B69="P/E",Valuation!F71&lt;&gt;""),(Valuation!F71)*(1+$B$9),IF(AND(B69="FCF yield",Valuation!G71&lt;&gt;""),(Valuation!G71)*(1+$B$9),E69))</f>
        <v/>
      </c>
    </row>
    <row r="70">
      <c r="A70" s="19" t="inlineStr">
        <is>
          <t>Value per share at target date (weighted methods)</t>
        </is>
      </c>
      <c r="F70" s="6">
        <f>SUMPRODUCT(F67:F69,G67:G69)/SUM(G67:G69)</f>
        <v/>
      </c>
    </row>
    <row r="129">
      <c r="A129" s="19" t="inlineStr">
        <is>
          <t>Segment build (model_engine.seg_build): revenue and EBIT are the segment sums plus corporate EBIT</t>
        </is>
      </c>
    </row>
    <row r="130">
      <c r="A130" s="3" t="inlineStr">
        <is>
          <t>Segment</t>
        </is>
      </c>
      <c r="B130" s="3" t="inlineStr">
        <is>
          <t>Base</t>
        </is>
      </c>
      <c r="C130" s="3">
        <f>Model!E5</f>
        <v/>
      </c>
      <c r="D130" s="3">
        <f>Model!F5</f>
        <v/>
      </c>
      <c r="E130" s="3">
        <f>Model!G5</f>
        <v/>
      </c>
    </row>
    <row r="131">
      <c r="A131" t="inlineStr">
        <is>
          <t>Copper (AECs, electrical ICs, IP): revenue growth</t>
        </is>
      </c>
      <c r="C131" s="18">
        <f>Model!E12+$B$4+$B$250</f>
        <v/>
      </c>
      <c r="D131" s="18">
        <f>Model!F12+$B$4</f>
        <v/>
      </c>
      <c r="E131" s="18">
        <f>Model!G12+$B$4</f>
        <v/>
      </c>
    </row>
    <row r="132">
      <c r="A132" t="inlineStr">
        <is>
          <t>Copper (AECs, electrical ICs, IP): revenue</t>
        </is>
      </c>
      <c r="B132" s="10">
        <f>Valuation!$B$88</f>
        <v/>
      </c>
      <c r="C132" s="23">
        <f>B132*(1+C131)</f>
        <v/>
      </c>
      <c r="D132" s="23">
        <f>C132*(1+D131)</f>
        <v/>
      </c>
      <c r="E132" s="23">
        <f>D132*(1+E131)</f>
        <v/>
      </c>
    </row>
    <row r="133">
      <c r="A133" t="inlineStr">
        <is>
          <t>Copper (AECs, electrical ICs, IP): EBIT margin</t>
        </is>
      </c>
      <c r="C133" s="18">
        <f>Model!E14+$B$5+$B$251</f>
        <v/>
      </c>
      <c r="D133" s="18">
        <f>Model!F14+$B$5+$B$252</f>
        <v/>
      </c>
      <c r="E133" s="18">
        <f>Model!G14+$B$5+$B$253</f>
        <v/>
      </c>
    </row>
    <row r="134">
      <c r="A134" t="inlineStr">
        <is>
          <t>Copper (AECs, electrical ICs, IP): EBIT</t>
        </is>
      </c>
      <c r="C134" s="23">
        <f>C132*C133</f>
        <v/>
      </c>
      <c r="D134" s="23">
        <f>D132*D133</f>
        <v/>
      </c>
      <c r="E134" s="23">
        <f>E132*E133</f>
        <v/>
      </c>
    </row>
    <row r="135">
      <c r="A135" t="inlineStr">
        <is>
          <t>Optical (DSPs, SiPh PICs, ZF optics, ALC: revenue growth</t>
        </is>
      </c>
      <c r="C135" s="18">
        <f>Model!E16+$B$4+$B$254</f>
        <v/>
      </c>
      <c r="D135" s="18">
        <f>Model!F16+$B$4</f>
        <v/>
      </c>
      <c r="E135" s="18">
        <f>Model!G16+$B$4</f>
        <v/>
      </c>
    </row>
    <row r="136">
      <c r="A136" t="inlineStr">
        <is>
          <t>Optical (DSPs, SiPh PICs, ZF optics, ALC: revenue</t>
        </is>
      </c>
      <c r="B136" s="10">
        <f>Valuation!$B$89</f>
        <v/>
      </c>
      <c r="C136" s="23">
        <f>B136*(1+C135)</f>
        <v/>
      </c>
      <c r="D136" s="23">
        <f>C136*(1+D135)</f>
        <v/>
      </c>
      <c r="E136" s="23">
        <f>D136*(1+E135)</f>
        <v/>
      </c>
    </row>
    <row r="137">
      <c r="A137" t="inlineStr">
        <is>
          <t>Optical (DSPs, SiPh PICs, ZF optics, ALC: EBIT margin</t>
        </is>
      </c>
      <c r="C137" s="18">
        <f>Model!E18+$B$5+$B$255</f>
        <v/>
      </c>
      <c r="D137" s="18">
        <f>Model!F18+$B$5+$B$256</f>
        <v/>
      </c>
      <c r="E137" s="18">
        <f>Model!G18+$B$5+$B$257</f>
        <v/>
      </c>
    </row>
    <row r="138">
      <c r="A138" t="inlineStr">
        <is>
          <t>Optical (DSPs, SiPh PICs, ZF optics, ALC: EBIT</t>
        </is>
      </c>
      <c r="C138" s="23">
        <f>C136*C137</f>
        <v/>
      </c>
      <c r="D138" s="23">
        <f>D136*D137</f>
        <v/>
      </c>
      <c r="E138" s="23">
        <f>E136*E137</f>
        <v/>
      </c>
    </row>
    <row r="139">
      <c r="A139" s="19" t="inlineStr">
        <is>
          <t>Total segment revenue</t>
        </is>
      </c>
      <c r="C139" s="23">
        <f>C132+C136</f>
        <v/>
      </c>
      <c r="D139" s="23">
        <f>D132+D136</f>
        <v/>
      </c>
      <c r="E139" s="23">
        <f>E132+E136</f>
        <v/>
      </c>
    </row>
    <row r="140">
      <c r="A140" t="inlineStr">
        <is>
          <t>Total segment EBIT</t>
        </is>
      </c>
      <c r="C140" s="23">
        <f>C134+C138</f>
        <v/>
      </c>
      <c r="D140" s="23">
        <f>D134+D138</f>
        <v/>
      </c>
      <c r="E140" s="23">
        <f>E134+E138</f>
        <v/>
      </c>
    </row>
    <row r="141">
      <c r="A141" t="inlineStr">
        <is>
          <t>Corporate / unallocated EBIT</t>
        </is>
      </c>
      <c r="C141" s="10">
        <f>Model!E21</f>
        <v/>
      </c>
      <c r="D141" s="10">
        <f>Model!F21</f>
        <v/>
      </c>
      <c r="E141" s="10">
        <f>Model!G21</f>
        <v/>
      </c>
    </row>
    <row r="142">
      <c r="A142" s="19" t="inlineStr">
        <is>
          <t>EBIT (segments + corporate)</t>
        </is>
      </c>
      <c r="C142" s="23">
        <f>C140+C141</f>
        <v/>
      </c>
      <c r="D142" s="23">
        <f>D140+D141</f>
        <v/>
      </c>
      <c r="E142" s="23">
        <f>E140+E141</f>
        <v/>
      </c>
    </row>
    <row r="249">
      <c r="A249" s="19" t="inlineStr">
        <is>
          <t>Driver scenario shifts: line-item changes model_drivers.py resolves from this scenario's driver deltas (added to the Model tab inputs)</t>
        </is>
      </c>
    </row>
    <row r="250">
      <c r="A250" t="inlineStr">
        <is>
          <t>Copper (AECs, electrical ICs, IP): revenue growth, year 1</t>
        </is>
      </c>
      <c r="B250" s="52" t="n">
        <v>0.2809271342793607</v>
      </c>
    </row>
    <row r="251">
      <c r="A251" t="inlineStr">
        <is>
          <t>Copper (AECs, electrical ICs, IP): EBIT margin, year 1</t>
        </is>
      </c>
      <c r="B251" s="52" t="n">
        <v>0.03586091107211553</v>
      </c>
    </row>
    <row r="252">
      <c r="A252" t="inlineStr">
        <is>
          <t>Copper (AECs, electrical ICs, IP): EBIT margin, year 2</t>
        </is>
      </c>
      <c r="B252" s="52" t="n">
        <v>0.0351764367475137</v>
      </c>
    </row>
    <row r="253">
      <c r="A253" t="inlineStr">
        <is>
          <t>Copper (AECs, electrical ICs, IP): EBIT margin, year 3</t>
        </is>
      </c>
      <c r="B253" s="52" t="n">
        <v>0.03488805096769942</v>
      </c>
    </row>
    <row r="254">
      <c r="A254" t="inlineStr">
        <is>
          <t>Optical (DSPs, SiPh PICs, ZF optics, ALC: revenue growth, year 1</t>
        </is>
      </c>
      <c r="B254" s="52" t="n">
        <v>3.140527317803745</v>
      </c>
    </row>
    <row r="255">
      <c r="A255" t="inlineStr">
        <is>
          <t>Optical (DSPs, SiPh PICs, ZF optics, ALC: EBIT margin, year 1</t>
        </is>
      </c>
      <c r="B255" s="52" t="n">
        <v>0.03586091107211553</v>
      </c>
    </row>
    <row r="256">
      <c r="A256" t="inlineStr">
        <is>
          <t>Optical (DSPs, SiPh PICs, ZF optics, ALC: EBIT margin, year 2</t>
        </is>
      </c>
      <c r="B256" s="52" t="n">
        <v>0.03517643674751381</v>
      </c>
    </row>
    <row r="257">
      <c r="A257" t="inlineStr">
        <is>
          <t>Optical (DSPs, SiPh PICs, ZF optics, ALC: EBIT margin, year 3</t>
        </is>
      </c>
      <c r="B257" s="52" t="n">
        <v>0.03488805096769954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4" customWidth="1" min="12" max="12"/>
    <col width="70" customWidth="1" min="13" max="13"/>
  </cols>
  <sheetData>
    <row r="1">
      <c r="A1" s="1" t="inlineStr">
        <is>
          <t>CRDO: each forecaster's own assumption set through the same engine (from model_engine.json, not live)</t>
        </is>
      </c>
    </row>
    <row r="3">
      <c r="A3" s="3" t="inlineStr">
        <is>
          <t>Set</t>
        </is>
      </c>
      <c r="B3" s="3" t="inlineStr">
        <is>
          <t>Research target (12m)</t>
        </is>
      </c>
      <c r="C3" s="3" t="inlineStr">
        <is>
          <t>Median</t>
        </is>
      </c>
      <c r="D3" s="3" t="inlineStr">
        <is>
          <t>25th pct</t>
        </is>
      </c>
      <c r="E3" s="3" t="inlineStr">
        <is>
          <t>75th pct</t>
        </is>
      </c>
      <c r="F3" s="3" t="inlineStr">
        <is>
          <t>WACC</t>
        </is>
      </c>
      <c r="G3" s="3" t="inlineStr">
        <is>
          <t>Y1 growth</t>
        </is>
      </c>
      <c r="H3" s="3" t="inlineStr">
        <is>
          <t>Y1 margin</t>
        </is>
      </c>
      <c r="I3" s="3" t="inlineStr">
        <is>
          <t>Terminal growth</t>
        </is>
      </c>
      <c r="J3" s="3" t="inlineStr">
        <is>
          <t>DCF weight</t>
        </is>
      </c>
      <c r="K3" s="3" t="inlineStr">
        <is>
          <t>Years</t>
        </is>
      </c>
      <c r="L3" s="3" t="inlineStr">
        <is>
          <t>Multiples</t>
        </is>
      </c>
      <c r="M3" s="3" t="inlineStr">
        <is>
          <t>Supervisor's note</t>
        </is>
      </c>
    </row>
    <row r="4">
      <c r="A4" t="inlineStr">
        <is>
          <t>supervisor</t>
        </is>
      </c>
      <c r="B4" s="9" t="n">
        <v>223.003464786882</v>
      </c>
      <c r="C4" s="9" t="n">
        <v>218.6090584630842</v>
      </c>
      <c r="D4" s="9" t="n">
        <v>152.5987935174241</v>
      </c>
      <c r="E4" s="9" t="n">
        <v>284.2689202274343</v>
      </c>
      <c r="F4" s="18" t="n"/>
      <c r="G4" s="18" t="n"/>
      <c r="H4" s="18" t="n"/>
      <c r="I4" s="18" t="n"/>
      <c r="J4" s="18" t="n">
        <v>0</v>
      </c>
      <c r="K4" t="n">
        <v>3</v>
      </c>
      <c r="L4" t="inlineStr">
        <is>
          <t>P/E 23.5 (ntm); EV/sales 11.0 (ntm)</t>
        </is>
      </c>
      <c r="M4" s="44" t="inlineStr"/>
    </row>
    <row r="5">
      <c r="A5" t="inlineStr">
        <is>
          <t>agent_1</t>
        </is>
      </c>
      <c r="M5" t="inlineStr">
        <is>
          <t>engine error: no model_inputs found</t>
        </is>
      </c>
    </row>
    <row r="6">
      <c r="A6" t="inlineStr">
        <is>
          <t>agent_2</t>
        </is>
      </c>
      <c r="M6" t="inlineStr">
        <is>
          <t>engine error: no model_inputs found</t>
        </is>
      </c>
    </row>
    <row r="7">
      <c r="A7" t="inlineStr">
        <is>
          <t>agent_3</t>
        </is>
      </c>
      <c r="M7" t="inlineStr">
        <is>
          <t>engine error: no model_inputs found</t>
        </is>
      </c>
    </row>
    <row r="8">
      <c r="A8" t="inlineStr">
        <is>
          <t>agent_4</t>
        </is>
      </c>
      <c r="M8" t="inlineStr">
        <is>
          <t>engine error: no model_inputs found</t>
        </is>
      </c>
    </row>
    <row r="9">
      <c r="A9" t="inlineStr">
        <is>
          <t>agent_5</t>
        </is>
      </c>
      <c r="M9" t="inlineStr">
        <is>
          <t>engine error: no model_inputs found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40" customWidth="1" min="4" max="4"/>
    <col width="70" customWidth="1" min="6" max="6"/>
  </cols>
  <sheetData>
    <row r="1">
      <c r="A1" s="1" t="inlineStr">
        <is>
          <t>CRDO: where each input comes from (source numbers point to the list below; F ids to the SEC fact table)</t>
        </is>
      </c>
    </row>
    <row r="3">
      <c r="A3" s="3" t="inlineStr">
        <is>
          <t>Input</t>
        </is>
      </c>
      <c r="B3" s="3" t="inlineStr">
        <is>
          <t>Value</t>
        </is>
      </c>
      <c r="C3" s="3" t="inlineStr">
        <is>
          <t>Basis</t>
        </is>
      </c>
      <c r="D3" s="3" t="inlineStr">
        <is>
          <t>Sources</t>
        </is>
      </c>
      <c r="E3" s="3" t="inlineStr">
        <is>
          <t>SEC fact ids</t>
        </is>
      </c>
      <c r="F3" s="3" t="inlineStr">
        <is>
          <t>Derivation</t>
        </is>
      </c>
    </row>
    <row r="4">
      <c r="A4" s="44" t="inlineStr">
        <is>
          <t>driver:copper_tam</t>
        </is>
      </c>
      <c r="B4" t="inlineStr">
        <is>
          <t>base 2.46; [4.398, 6.48, 7.98] ($B)</t>
        </is>
      </c>
      <c r="C4" t="inlineStr">
        <is>
          <t>estimate</t>
        </is>
      </c>
      <c r="D4" t="inlineStr">
        <is>
          <t>23, 24, 25, 26, 12, 22, 33</t>
        </is>
      </c>
      <c r="E4" t="inlineStr"/>
      <c r="F4" s="44" t="inlineStr">
        <is>
          <t>Big-4 capex path (project AI-capex build [src 23]: CY2025 $410B, CY2026 $733B, CY2027 $1,080B, CY2028 $1,330B; confirmed parts [src 24-26]) x a copper attach of 0.60% of capex (estimate). No citable copper TAM: Credo's FY2026 10-K has no market-opportunity figure [src 12]; management calls ALC, scale-up and OmniConnect 'multibillion dollar' opportunities without a copper figure [src 22]. TAM = Big-4 capex x 0.60%: CY2025 410 x 0.006 = $2.46B; CY2026 733 x 0.006 = $4.398B; CY2027 1,080 x 0.006 = $6.48B; CY2028 1,330 x 0.006 = $7.98B. The 0.60% attach is set so that Credo's FY2026 copper revenue (~$1,275M, see segment base) is ~52% of it: Credo created the AEC category and is its main supplier, but holds a minority of electrical retimers/PHYs (PCIe retimers, line-card PHYs) where larger vendors compete. Cross-check: LightCounting puts optics sales to the top five cloud providers at 2.7% of their capex in 2025 (Lightwave 2026-03-10 on the 'Optics for AI Clusters' report [src 33]), so copper at 0.6% is ~1/5 of the optics spend (0.6 / 2.7 = 0.22). The attach level cancels in revenue (copper_share is calibrated to it); what moves value is the capex growth and the share trend. Fiscal/calendar alignment: Credo's FY n runs May n-1 to April n (FY2026 ended 2026-05-02), so 8 of its 12 months fall in CY n-1; FY n is paired with CY n-1 (FY26 = CY2025, FY27 = CY2026, FY28 = CY2027, FY29 = CY2028), as in the old capture_bps set: Credo ships cables, chips and modules to ODMs and module makers a quarter or two before the racks are capitalised. Variant view: attach rising with AEC penetration at 1.6T and scale-up (e.g. 0.6% -&gt; 0.7% by CY2028) would lift FY29 copper ~17% at the same share; Street CY2027 Big-4 capex ~$930B [src 23] would cut FY28 copper ~14%.</t>
        </is>
      </c>
    </row>
    <row r="5">
      <c r="A5" s="44" t="inlineStr">
        <is>
          <t>driver:copper_share</t>
        </is>
      </c>
      <c r="B5" t="inlineStr">
        <is>
          <t>base 0.51834; [0.42747, 0.42747, 0.42747] (fraction)</t>
        </is>
      </c>
      <c r="C5" t="inlineStr">
        <is>
          <t>estimate</t>
        </is>
      </c>
      <c r="D5" t="inlineStr">
        <is>
          <t>3, 22, 12</t>
        </is>
      </c>
      <c r="E5" t="inlineStr"/>
      <c r="F5" s="44" t="inlineStr">
        <is>
          <t>FY28-29 held at the FY27 share (Kilian 2026-10-27 17:21Z): copper revenue grows with the Big-4 capex path. FY27 1,880 / 4,398 = 42.75%; FY28 6,480 x 42.747% = $2,770M; FY29 7,980 x 42.747% = $3,411M. Why hold rather than erode: AECs remain the largest business, Credo has 5 hyperscaler relationships, added a new 10% customer and management says AEC penetration within existing customers is rising [src 22]; the reported Marvell/Amphenol 1.6T AEC competition at the top customer (agents 1-5) is carried by the bear case's top_customer_pct cut, so eroding the base as well would count it twice; and with no citable copper TAM the share trend is judgment either way. Variant view: the earlier eroded path (40.25% FY28, 38.90% FY29, which followed the forecasters' median total revenue under the old optical path) applied to the current set gives research target (12m) 208.29 (-6.6%). FY28 total revenue is now $3,861M vs the agents' median $3,700M and StockAnalysis consensus $3.88B [src 3]. ALC is placed in optical (it carries light over fiber with micro-LED emitters), OmniConnect gearboxes (electrical, first revenue FY28 [src 22]) here. Bear: dual-sourcing at the top customer is carried by top_customer_pct, not here.</t>
        </is>
      </c>
    </row>
    <row r="6">
      <c r="A6" s="44" t="inlineStr">
        <is>
          <t>driver:gm_copper</t>
        </is>
      </c>
      <c r="B6" t="inlineStr">
        <is>
          <t>base 0.68288; [0.69, 0.685, 0.68] (fraction)</t>
        </is>
      </c>
      <c r="C6" t="inlineStr">
        <is>
          <t>estimate</t>
        </is>
      </c>
      <c r="D6" t="inlineStr">
        <is>
          <t>13, 10, 22, 30</t>
        </is>
      </c>
      <c r="E6" t="inlineStr"/>
      <c r="F6" s="44" t="inlineStr">
        <is>
          <t>Not disclosed by line. Base solved from the FY2026 blended non-GAAP gross margin 68.14% ($909.8M / $1,335.1M, Q4 FY26 release reconciliation [src 13]) with optical at 65% and 4.49% of revenue. FY27 blended guide 'broadly consistent with fiscal year 26 levels' [src 22]; Q1 FY27 68.0%, Q2 guide 67-69% [src 10]. Base (0.6814 - 0.04494 x 0.65) / 0.95506 = 68.29%. FY27 69.0%: with optical at 24.8% of revenue (620 / 2,500) at 65%, 0.752 x 0.69 + 0.248 x 0.65 = 68.0% = the guide ('broadly consistent' with 68.1%) and Q1. Copper edges up 0.7pt on 1.6T AEC mix and scale; FY28 68.5% and FY29 68.0% as Marvell 1.6T pricing (15-20% lower, agents 1-5) bites. IP licensing (cost 1.4% of IP revenue in FY25, i.e. ~99% margin [src 30]) sits here but was only 2.9% of FY25 revenue and is no longer split out. Variant view: if optics are as rich as copper the split is ~68%/68% and only the blended level matters; see gm_optical.</t>
        </is>
      </c>
    </row>
    <row r="7">
      <c r="A7" s="44" t="inlineStr">
        <is>
          <t>driver:optical_tam</t>
        </is>
      </c>
      <c r="B7" t="inlineStr">
        <is>
          <t>base 16.5; [36.3, 63.888, 83.438] ($B)</t>
        </is>
      </c>
      <c r="C7" t="inlineStr">
        <is>
          <t>estimate</t>
        </is>
      </c>
      <c r="D7" t="inlineStr">
        <is>
          <t>31, 32, 33, 22</t>
        </is>
      </c>
      <c r="E7" t="inlineStr"/>
      <c r="F7" s="44" t="inlineStr">
        <is>
          <t>CY2026 16.5 x 2.20 = $36.3B; CY2027 36.3 x 1.76 = $63.888B; CY2028: LightCounting's optics-to-capex ratio (Kilian 2026-10-27 17:21Z, replacing the straight-line interpolation of growth rates): optics sales to the top five cloud providers were 2.7% of their capex in 2025 and 3.1% in 2026, rising to 4.1% by 2031 (Lightwave 2026-03-10 on LightCounting's 'Optics for AI Clusters' [src 33]); linear between 2026 and 2031 (+0.2pt a year) gives 3.3% in 2027 and 3.5% in 2028. CY2028 growth = (Big-4 capex 1,330 / 1,080) x (3.5% / 3.3%) = 1.2315 x 1.0606 = 1.306; 63.888 x 1.306 = $83.438B. Cross-check: the pluggable transceiver market grows from 60 million units in 2026 to 175 million by 2030 (CEO quoting market forecasters, Q1 FY27 call [src 22]), (175/60)^(1/4) - 1 = +30.7% a year in units. CY2026-27 keep LightCounting's published growth rates (+120%, +76%) because they are published figures; the same ratio method would give +57% for 2027 (1,080/733 x 3.3/3.1), so the 2027 step is the richer of the two. Fiscal/calendar alignment: Credo's FY n runs May n-1 to April n (FY2026 ended 2026-05-02), so 8 of its 12 months fall in CY n-1; FY n is paired with CY n-1 (FY26 = CY2025, FY27 = CY2026, FY28 = CY2027, FY29 = CY2028), as in the old capture_bps set: Credo ships cables, chips and modules to ODMs and module makers a quarter or two before the racks are capitalised. Variants: CY2028 tied to Big-4 capex growth alone (+23%, $78.7B) gives research target (12m) 220.69 (-1.0%); the earlier straight-line interpolation of LightCounting growth rates (+62%, $103.5B) gives 232.78 (+4.4%). LightCounting's 2026 growth forecast was raised from +60% (January [src 31]) to +120% (October [src 32]). Vintage gap: our CY2026 $36.3B (16.5 x 2.20, October vintage) is above the $26B for 2026 in LightCounting's January vintage as quoted by POET [src 31] (36.3 / 26 - 1 = +40%); the October +120% is the newer figure, so it is used.</t>
        </is>
      </c>
    </row>
    <row r="8">
      <c r="A8" s="44" t="inlineStr">
        <is>
          <t>driver:optical_share</t>
        </is>
      </c>
      <c r="B8" t="inlineStr">
        <is>
          <t>base 0.0036364; [0.01708, 0.01708, 0.01708] (fraction)</t>
        </is>
      </c>
      <c r="C8" t="inlineStr">
        <is>
          <t>estimate</t>
        </is>
      </c>
      <c r="D8" t="inlineStr">
        <is>
          <t>22, 15, 13</t>
        </is>
      </c>
      <c r="E8" t="inlineStr"/>
      <c r="F8" s="44" t="inlineStr">
        <is>
          <t>Base: FY2026 optical revenue ~$60M (estimate, segment base row) / $16.5B = 0.364%. FY27: optical revenue $620M vs the guide 'more than $600 million of optical revenue in fiscal 27', with ZeroFlap optics, SiPh PICs and optical DSPs each &gt;$100M [src 22] (see guidance_check: optical revenue FY2027) / CY2026 $36.3B = 1.708%. FY28-29 held at 1.708%. FY27 620 / 36,300 = 1.708%: the &gt;$600M floor x the record (Credo's one annual floor guide on file, FY26 &gt;200%, beat by +2.8%: 600 x 1.028 = $617M), rounded to $620M. FY28-29 held at the FY27 share (Credo grows with LightCounting's market): FY28 63.888 x 1.708% = $1,091M; FY29 83.438 x 1.708% = $1,425M. Support: optical DSP record revenue in Q1, design wins with 2 major players for next-generation ramps in FY28 (possibly late FY27), DustPhotonics PICs ramping throughout FY27 (so a full year of PIC revenue in FY28: our inference, not a management statement), ALC first revenue FY28 [src 22]. Against: no optical revenue disclosure yet; ZeroFlap optics are engaged, not yet ramped. Agents: &gt;$600M delivered (agents 2-5); passing a $1B run-rate is the agents' bull (agent 3), so the base stays near $1.1B in FY28. Variant view: share rising to 2.0% in FY28 (design-win ramps) adds ~$190M FY28 revenue; the bull uses +15%.</t>
        </is>
      </c>
    </row>
    <row r="9">
      <c r="A9" s="44" t="inlineStr">
        <is>
          <t>driver:gm_optical</t>
        </is>
      </c>
      <c r="B9" t="inlineStr">
        <is>
          <t>base 0.65; [0.65, 0.63, 0.62] (fraction)</t>
        </is>
      </c>
      <c r="C9" t="inlineStr">
        <is>
          <t>estimate</t>
        </is>
      </c>
      <c r="D9" t="inlineStr">
        <is>
          <t>22, 13, 10</t>
        </is>
      </c>
      <c r="E9" t="inlineStr"/>
      <c r="F9" s="44" t="inlineStr">
        <is>
          <t>Not disclosed by line. Evidence: management guides FY27 blended GM 'broadly consistent with fiscal year 26 levels' while optics go from ~5% to ~25% of revenue [src 22]; Q1 FY27 68.0% with the first PIC revenue [src 22]. Component DSPs and PICs are chip-level products; ZeroFlap optics are complete transceivers (hardware, firmware and software [src 22]) and ALC a cable system, which carry more bill of materials. If optics ran far below the company average, the FY27 blend could only stay ~68% with a large rise in copper margin; a flat blend while optics grow 10x implies optics near the average. Base and FY27 65% (DSP- and PIC-heavy mix, 3pt below copper); FY28 63% and FY29 62% as ZeroFlap transceivers and ALC (systems) rise in the optical mix. Blended GM then 68.0% (FY27), 66.9% (FY28: (2,770 x 68.5% + 1,091 x 63%) / 3,861), 66.2% (FY29: (3,411 x 68.0% + 1,425 x 62%) / 4,836) vs the old flat 67.5%. Variant view: transceiver-heavy optics at 60/57/55% give research target (12m) -3.0%; optics held at 65% +1.2%.</t>
        </is>
      </c>
    </row>
    <row r="10">
      <c r="A10" s="44" t="inlineStr">
        <is>
          <t>driver:opex</t>
        </is>
      </c>
      <c r="B10" t="inlineStr">
        <is>
          <t>base 270.945; [430.0, 640.0, 790.0] ($M)</t>
        </is>
      </c>
      <c r="C10" t="inlineStr">
        <is>
          <t>estimate</t>
        </is>
      </c>
      <c r="D10" t="inlineStr">
        <is>
          <t>13, 10, 22</t>
        </is>
      </c>
      <c r="E10" t="inlineStr"/>
      <c r="F10" s="44" t="inlineStr">
        <is>
          <t>Base: FY2026 non-GAAP operating expenses $270.9M (Q4 FY26 release reconciliation [src 13]). Q1 FY27 $95.2M (above the $86-90M guide), Q2 guide $100-105M [src 10]; FY27 guide "increase approximately 55% year-over-year" [src 22]. FY27 $430M = 270.9 x 1.55 = $419.9M guide x (1 + 1.91% record median overspend (median of the 8 quarters' actual vs guide mid, (0.0186 + 0.0196) / 2); 3 of the last 3 quarters above the range) = $428M, rounded up for Q1 $95.2M + Q2 ~$103M leaving ~$232M for H2. FY28 $640M (+49%) and FY29 $790M (+23%): opex growing a little below revenue (FY26 opex +60.6% vs revenue +205.7% [src 13]; FY27 guide +55% vs &gt;85%). Agents stated net margins, not opex: their FY28 median ~48.5% (agents 2/3/5) at 1% tax and 67.5% GM implies opex of 0.675 - 0.485 / 0.99 = 18.5% of revenue (~$685M on $3,700M) if that margin contains no interest income, or ~19.6% (~$725M) if ~1.1pt of interest income on net cash is netted out first (the engine carries no interest income, so ~19.6% is the like-for-like figure). I depart from it: agents 5 and 1 say the margin haircut is for concentration and Marvell pricing, which this set now carries in top_customer_pct (bear), copper_share and gm_copper; repeating it in opex would count it twice. Effect on the research target (12m) (engine, old structure): opex [430, 725, 900] gives 214.45 vs 221.18 (-3.0%); [430, 685, 900] gives 215.92 (-2.4%). Variant view: R&amp;D for NPO, ALC, OmniConnect and 3.2T could keep opex growth near 55% (FY28 ~$665M).</t>
        </is>
      </c>
    </row>
    <row r="11">
      <c r="A11" s="44" t="inlineStr">
        <is>
          <t>driver:top_customer_pct</t>
        </is>
      </c>
      <c r="B11" t="inlineStr">
        <is>
          <t>base 0.33; [0.33, 0.33, 0.33] (fraction)</t>
        </is>
      </c>
      <c r="C11" t="inlineStr">
        <is>
          <t>filing</t>
        </is>
      </c>
      <c r="D11" t="inlineStr">
        <is>
          <t>12, 11, 22</t>
        </is>
      </c>
      <c r="E11" t="inlineStr"/>
      <c r="F11" s="44" t="inlineStr">
        <is>
          <t>FY2026 10-K end-customer table: Customer D 33%, Customer B 32%, Customer E 19% (direct-billing basis Customer A 49%) [src 12]. Q1 FY27 10-Q end-customer table: D 33%, C 28%, E 13%, F 10% (direct basis A 43%, 57% of receivables) [src 11]; CFO: 'our largest customer was a third of our revenue at 33%' [src 22]. Base 0.33 (FY26) and held at 0.33 in FY27-29 (Q1 FY27 33%; management expects 3-4 customers above 10% [src 22], i.e. diversification comes through the other customers, which the shares carry). Formula: each segment's revenue = TAM x share x 1000 x (1 - 0.33) / (1 - top_customer_pct). At the base path the factor is 1. Moving the driver to T means the top customer buys less (or more) while every other customer stays as the TAM x share build says: total revenue scales by 0.67 / (1 - T) and the top customer's revenue by T x 0.67 / (0.33 x (1 - T)). Bear: T 0.33 -&gt; 0.21 cuts total revenue 15.2% and the top customer's revenue 46% (a 1.6T AEC dual-source to Marvell at 15-20% lower prices, agents 1-5). The top customer's product mix is not disclosed; the term applies to copper and optical alike (the CFO says these hyperscalers buy more than AECs [src 22]). Variant view: on the direct-billing basis (43%) the same customer-loss story is larger; the end-customer basis is used because the sourcing decision is the end customer's.</t>
        </is>
      </c>
    </row>
    <row r="12">
      <c r="A12" s="44" t="inlineStr">
        <is>
          <t>base.revenue</t>
        </is>
      </c>
      <c r="B12" t="inlineStr">
        <is>
          <t>1335.116</t>
        </is>
      </c>
      <c r="C12" t="inlineStr">
        <is>
          <t>reported</t>
        </is>
      </c>
      <c r="D12" t="inlineStr">
        <is>
          <t>12, 13</t>
        </is>
      </c>
      <c r="E12" t="inlineStr">
        <is>
          <t>F3</t>
        </is>
      </c>
      <c r="F12" s="44" t="inlineStr">
        <is>
          <t>FY2026 (52 weeks to 2026-05-02) revenue $1,335,116K.</t>
        </is>
      </c>
    </row>
    <row r="13">
      <c r="A13" s="44" t="inlineStr">
        <is>
          <t>segment_build[Copper (AECs, electrical ICs, IP)].base_revenue</t>
        </is>
      </c>
      <c r="B13" t="inlineStr">
        <is>
          <t>1275.116</t>
        </is>
      </c>
      <c r="C13" t="inlineStr">
        <is>
          <t>estimate</t>
        </is>
      </c>
      <c r="D13" t="inlineStr">
        <is>
          <t>12, 30, 22</t>
        </is>
      </c>
      <c r="E13" t="inlineStr">
        <is>
          <t>F3, F2</t>
        </is>
      </c>
      <c r="F13" s="44" t="inlineStr">
        <is>
          <t>Credo files one segment and no product-line split [src 12]. FY2026 copper = total $1,335.1M less optical ~$60M = $1,275.1M (95.5%). Bounds: the FY26 10-K says the AEC ramp 'contributed over 99% of the increase in revenue' ($898.3M) [src 12], so non-AEC revenue rose at most ~$9M in FY26; the FY25 10-K says AECs were over 95% of the $267.1M product-sales increase and FY24 product sales were $145.0M, with product engineering services $12.1M and IP license $12.5M in FY25 [src 30]. So FY26 non-AEC revenue (optical DSPs, electrical ICs, services, IP) was at most ~$192M (145.0 + 13.4 + 24.6 + 9.0) and AECs at least ~$1,143M. AECs remain the largest business [src 22]. Copper here = AECs + retimers/line-card PHYs/SerDes chiplets + product engineering services + IP licensing.</t>
        </is>
      </c>
    </row>
    <row r="14">
      <c r="A14" s="44" t="inlineStr">
        <is>
          <t>segment_build[Optical (DSPs, SiPh PICs, ZF optics, ALC)].base_revenue</t>
        </is>
      </c>
      <c r="B14" t="inlineStr">
        <is>
          <t>60.0</t>
        </is>
      </c>
      <c r="C14" t="inlineStr">
        <is>
          <t>estimate</t>
        </is>
      </c>
      <c r="D14" t="inlineStr">
        <is>
          <t>12, 30, 22</t>
        </is>
      </c>
      <c r="E14" t="inlineStr">
        <is>
          <t>F3</t>
        </is>
      </c>
      <c r="F14" s="44" t="inlineStr">
        <is>
          <t>FY2026 optical ~$60M (4.5% of revenue): optical DSPs were the only optical line in volume in FY26 (ZeroFlap optics early; SiPh PIC revenue began in Q1 FY27 after the DustPhotonics acquisition closed 2026-05-28 [src 11, 22]). Optical DSPs share the &lt;=~$192M non-AEC pool (see copper row) with retimers, line-card PHYs, chiplets, services and IP; ~1/3 of that pool is taken (estimate). Not disclosed; flagged.</t>
        </is>
      </c>
    </row>
    <row r="15">
      <c r="A15" s="44" t="inlineStr">
        <is>
          <t>years.tax_rate FY2027</t>
        </is>
      </c>
      <c r="B15" t="inlineStr">
        <is>
          <t>0.01</t>
        </is>
      </c>
      <c r="C15" t="inlineStr">
        <is>
          <t>estimate</t>
        </is>
      </c>
      <c r="D15" t="inlineStr">
        <is>
          <t>13, 10</t>
        </is>
      </c>
      <c r="E15" t="inlineStr">
        <is>
          <t>F64, F68</t>
        </is>
      </c>
      <c r="F15" s="44" t="inlineStr">
        <is>
          <t>Non-GAAP effective tax: FY26 (669.3 pretax = 638.8 non-GAAP operating income + 30.4 other income; NI 661.5) = 1.15% [src 13]; Q1 FY27 (230.6 + 8.1 other income = 238.7; NI 236.3) = 1.0% [src 10, 22].</t>
        </is>
      </c>
    </row>
    <row r="16">
      <c r="A16" s="44" t="inlineStr">
        <is>
          <t>years.tax_rate FY2028-FY2029</t>
        </is>
      </c>
      <c r="B16" t="inlineStr">
        <is>
          <t>0.15</t>
        </is>
      </c>
      <c r="C16" t="inlineStr">
        <is>
          <t>estimate</t>
        </is>
      </c>
      <c r="D16" t="inlineStr">
        <is>
          <t>12</t>
        </is>
      </c>
      <c r="E16" t="inlineStr"/>
      <c r="F16" s="44" t="inlineStr">
        <is>
          <t>10-K risk factors: "We expect we may be subject to legislation based on the OECD's 15% global minimum tax regime in our fiscal year 2028" [src 12]. Set at the 15% minimum (estimate; US income already taxed at 21% and HK/Cayman profits topped up). Judgment card for Kilian: ~1% (agents, apparently consensus) gives research target (12m) +11%.</t>
        </is>
      </c>
    </row>
    <row r="17">
      <c r="A17" s="44" t="inlineStr">
        <is>
          <t>years.da_pct_rev</t>
        </is>
      </c>
      <c r="B17" t="inlineStr">
        <is>
          <t>0.025</t>
        </is>
      </c>
      <c r="C17" t="inlineStr">
        <is>
          <t>estimate</t>
        </is>
      </c>
      <c r="D17" t="inlineStr">
        <is>
          <t>12</t>
        </is>
      </c>
      <c r="E17" t="inlineStr">
        <is>
          <t>F36, F3</t>
        </is>
      </c>
      <c r="F17" s="44" t="inlineStr">
        <is>
          <t>FY26 D&amp;A $34.6M / revenue $1,335.1M = 2.6%; rounded to 2.5% as revenue scales (cash-flow only: EBIT is non-GAAP).</t>
        </is>
      </c>
    </row>
    <row r="18">
      <c r="A18" s="44" t="inlineStr">
        <is>
          <t>years.capex_pct_rev</t>
        </is>
      </c>
      <c r="B18" t="inlineStr">
        <is>
          <t>0.04</t>
        </is>
      </c>
      <c r="C18" t="inlineStr">
        <is>
          <t>estimate</t>
        </is>
      </c>
      <c r="D18" t="inlineStr">
        <is>
          <t>12, 11</t>
        </is>
      </c>
      <c r="E18" t="inlineStr">
        <is>
          <t>F57, F60, F6</t>
        </is>
      </c>
      <c r="F18" s="44" t="inlineStr">
        <is>
          <t>FY26 capex $57.3M / $1,335.1M = 4.3%; TTM to 2026-08-01 $61.8M / $1,591.0M = 3.9%. 4% (fabless).</t>
        </is>
      </c>
    </row>
    <row r="19">
      <c r="A19" s="44" t="inlineStr">
        <is>
          <t>years.nwc_pct_incr_rev</t>
        </is>
      </c>
      <c r="B19" t="inlineStr">
        <is>
          <t>0.25</t>
        </is>
      </c>
      <c r="C19" t="inlineStr">
        <is>
          <t>estimate</t>
        </is>
      </c>
      <c r="D19" t="inlineStr">
        <is>
          <t>13, 11</t>
        </is>
      </c>
      <c r="E19" t="inlineStr"/>
      <c r="F19" s="44" t="inlineStr">
        <is>
          <t>FY26 working capital (receivables +71.2, inventories +160.8, other current assets +43.6, less payables +51.2, accrued and other current liabilities +38.2) = +$186.2M on +$898.3M revenue = 20.7% [src 13]; Q1 FY27 receivables +54.5, inventories +61.5 (10-Q cash flow statement) on +$42M sequential revenue as inventory built for the H2 ramp [src 11]. 25% keeps conversion weak through FY27-28 as agents 1-5 argue; horizon net cash comes out ~$1.97B vs the agents' ~$1.8B (agents 1/2/4/5; agent_3 $1.7B).</t>
        </is>
      </c>
    </row>
    <row r="20">
      <c r="A20" s="44" t="inlineStr">
        <is>
          <t>years.sbc_pct_rev</t>
        </is>
      </c>
      <c r="B20" t="inlineStr">
        <is>
          <t>0.14</t>
        </is>
      </c>
      <c r="C20" t="inlineStr">
        <is>
          <t>reported</t>
        </is>
      </c>
      <c r="D20" t="inlineStr">
        <is>
          <t>12, 11</t>
        </is>
      </c>
      <c r="E20" t="inlineStr">
        <is>
          <t>F43, F47</t>
        </is>
      </c>
      <c r="F20" s="44" t="inlineStr">
        <is>
          <t>FY26 SBC $182.6M / $1,335.1M = 13.7%; Q1 FY27 $88.0M / $479.0M = 18.4%. Shown for reference: with ebit_basis adjusted and sbc_treatment dilution, SBC enters through the share count.</t>
        </is>
      </c>
    </row>
    <row r="21">
      <c r="A21" s="44" t="inlineStr">
        <is>
          <t>years.other_uses FY2027</t>
        </is>
      </c>
      <c r="B21" t="inlineStr">
        <is>
          <t>102.4</t>
        </is>
      </c>
      <c r="C21" t="inlineStr">
        <is>
          <t>reported</t>
        </is>
      </c>
      <c r="D21" t="inlineStr">
        <is>
          <t>11</t>
        </is>
      </c>
      <c r="E21" t="inlineStr"/>
      <c r="F21" s="44" t="inlineStr">
        <is>
          <t>10-Q: Credo "will pay $102.4 million of refundable deposits within fiscal 2027" under a manufacturing supply capacity reservation agreement with an assembly subcontractor [src 11]. Refundable, but out of cash before the horizon.</t>
        </is>
      </c>
    </row>
    <row r="22">
      <c r="A22" s="44" t="inlineStr">
        <is>
          <t>balance.net_debt</t>
        </is>
      </c>
      <c r="B22" t="inlineStr">
        <is>
          <t>-764.3</t>
        </is>
      </c>
      <c r="C22" t="inlineStr">
        <is>
          <t>reported</t>
        </is>
      </c>
      <c r="D22" t="inlineStr">
        <is>
          <t>11, 10</t>
        </is>
      </c>
      <c r="E22" t="inlineStr">
        <is>
          <t>F76, F77, F80</t>
        </is>
      </c>
      <c r="F22" s="44" t="inlineStr">
        <is>
          <t>Cash $466.9M + short-term investments $297.4M at 2026-08-01, no borrowings on the balance sheet (after the $735.6M DustPhotonics outlay) [src 11]; net debt = -$764.3M.</t>
        </is>
      </c>
    </row>
    <row r="23">
      <c r="A23" s="44" t="inlineStr">
        <is>
          <t>balance.interest_rate</t>
        </is>
      </c>
      <c r="B23" t="inlineStr">
        <is>
          <t>0.04</t>
        </is>
      </c>
      <c r="C23" t="inlineStr">
        <is>
          <t>estimate</t>
        </is>
      </c>
      <c r="D23" t="inlineStr">
        <is>
          <t>13</t>
        </is>
      </c>
      <c r="E23" t="inlineStr"/>
      <c r="F23" s="44" t="inlineStr">
        <is>
          <t>FY26 other income $30.4M on average cash and investments of ~$0.9B (~3.4-4%); not used while net cash is positive (the engine adds no interest income), which understates EPS by ~1% of revenue.</t>
        </is>
      </c>
    </row>
    <row r="24">
      <c r="A24" s="44" t="inlineStr">
        <is>
          <t>shares.diluted_now</t>
        </is>
      </c>
      <c r="B24" t="inlineStr">
        <is>
          <t>200.0</t>
        </is>
      </c>
      <c r="C24" t="inlineStr">
        <is>
          <t>estimate</t>
        </is>
      </c>
      <c r="D24" t="inlineStr">
        <is>
          <t>22, 10</t>
        </is>
      </c>
      <c r="E24" t="inlineStr">
        <is>
          <t>F33, F79</t>
        </is>
      </c>
      <c r="F24" s="44" t="inlineStr">
        <is>
          <t>Q2 FY27 "diluted weighted average share count to be approximately 200 million shares" [src 22]; Q1 FY27 non-GAAP weighted-average diluted shares 197.5M (197,505K, release reconciliation) [src 10]; includes DustPhotonics shares. Management's stated Q2 share count, used as today's count (estimate).</t>
        </is>
      </c>
    </row>
    <row r="25">
      <c r="A25" s="44" t="inlineStr">
        <is>
          <t>shares.annual_change</t>
        </is>
      </c>
      <c r="B25" t="inlineStr">
        <is>
          <t>0.015</t>
        </is>
      </c>
      <c r="C25" t="inlineStr">
        <is>
          <t>estimate</t>
        </is>
      </c>
      <c r="D25" t="inlineStr">
        <is>
          <t>11, 34</t>
        </is>
      </c>
      <c r="E25" t="inlineStr">
        <is>
          <t>F47</t>
        </is>
      </c>
      <c r="F25" s="44" t="inlineStr">
        <is>
          <t>SBC ~$352M a year (Q1 FY27 $88.0M x 4) / ~$147 = ~2.4M shares (1.2%) plus part of the up to ~3.21M DustPhotonics earn-out shares, issued on financial milestones whose timing is not disclosed (Credo release [src 34]); ~0.6M a year assumed in the window (judgment), no buyback: 2.4M + 0.6M = 3.0M / 200M = +1.5% a year. Variant: all 3.21M issued within the year gives +2.8% -&gt; 205.6M at the horizon (200 x 1.028; (2.4M + 3.21M) / 200M = 2.8%) (agents 199-205M, median 200M).</t>
        </is>
      </c>
    </row>
    <row r="26">
      <c r="A26" s="44" t="inlineStr">
        <is>
          <t>horizon_multiples[P/E].value</t>
        </is>
      </c>
      <c r="B26" t="inlineStr">
        <is>
          <t>23.5</t>
        </is>
      </c>
      <c r="C26" t="inlineStr">
        <is>
          <t>estimate</t>
        </is>
      </c>
      <c r="D26" t="inlineStr">
        <is>
          <t>27</t>
        </is>
      </c>
      <c r="E26" t="inlineStr">
        <is>
          <t>ALAB.pe_ntm, MRVL.pe_ntm, AVGO.pe_ntm, COHR.pe_ntm, LITE.pe_ntm, AAOI.pe_ntm, MTSI.pe_ntm, FN.pe_ntm, CIEN.pe_ntm, ANET.pe_ntm, RMBS.pe_ntm</t>
        </is>
      </c>
      <c r="F26" s="44" t="inlineStr">
        <is>
          <t>Agents' median P/E on Sep-2027 NTM EPS: 23.5x (agent_1 23.5, agent_2 24, agent_3 21, agent_4 22, agent_5 24). Peer median P/E NTM 34.5x across 11 filing-based peers (36.7x without thin-coverage AAOI and RMBS) [src 27]; 23.5x = -32%, for customer concentration (43% direct customer, 84% top four [src 11]), Marvell 1.6T AEC pricing and slower growth after FY28. CRDO itself trades ~18.6x the StockAnalysis FY27/FY28 blend [src 3] and ~22x on Zacks consensus EPS (FY27 $5.02 / FY28 $8.30 via Nasdaq.com [src 28]); Zacks does not state whether that EPS is GAAP or adjusted (its FY27 $5.02 is ~20% below the StockAnalysis non-GAAP $6.31), so the ~22x is on an unstated basis, not comparable with the non-GAAP 18.6x, and is shown for reference only.</t>
        </is>
      </c>
    </row>
    <row r="27">
      <c r="A27" s="44" t="inlineStr">
        <is>
          <t>horizon_multiples[P/E].weight</t>
        </is>
      </c>
      <c r="B27" t="inlineStr">
        <is>
          <t>0.7</t>
        </is>
      </c>
      <c r="C27" t="inlineStr">
        <is>
          <t>judgment</t>
        </is>
      </c>
      <c r="D27" t="inlineStr"/>
      <c r="E27" t="inlineStr"/>
      <c r="F27" s="44" t="inlineStr">
        <is>
          <t>Agents weighted P/E 0.45-0.5, EV/sales 0.2-0.25, DCF 0.25-0.3. The DCF leg is gone (no-DCF rule, Kilian 2026-10-21); P/E and EV/sales keep their ratio: 0.5 / (0.5 + 0.2) = 0.71 -&gt; 0.7. Untested weight.</t>
        </is>
      </c>
    </row>
    <row r="28">
      <c r="A28" s="44" t="inlineStr">
        <is>
          <t>horizon_multiples[EV/sales].value</t>
        </is>
      </c>
      <c r="B28" t="inlineStr">
        <is>
          <t>11.0</t>
        </is>
      </c>
      <c r="C28" t="inlineStr">
        <is>
          <t>estimate</t>
        </is>
      </c>
      <c r="D28" t="inlineStr"/>
      <c r="E28" t="inlineStr"/>
      <c r="F28" s="44" t="inlineStr">
        <is>
          <t>Agents' median EV/NTM sales 11x (agent_1 10x, agent_2 11x, agent_3 11x, agent_4 9x, agent_5 11.5x). No peer NTM sales median: the peer snapshots carry EPS only (flag).</t>
        </is>
      </c>
    </row>
    <row r="29">
      <c r="A29" s="44" t="inlineStr">
        <is>
          <t>horizon_multiples[EV/sales].weight</t>
        </is>
      </c>
      <c r="B29" t="inlineStr">
        <is>
          <t>0.3</t>
        </is>
      </c>
      <c r="C29" t="inlineStr">
        <is>
          <t>judgment</t>
        </is>
      </c>
      <c r="D29" t="inlineStr"/>
      <c r="E29" t="inlineStr"/>
      <c r="F29" s="44" t="inlineStr">
        <is>
          <t>Rest of the multiple weight (see P/E weight).</t>
        </is>
      </c>
    </row>
    <row r="30">
      <c r="A30" s="44" t="inlineStr">
        <is>
          <t>scenario_vol</t>
        </is>
      </c>
      <c r="B30" t="inlineStr">
        <is>
          <t>0.25</t>
        </is>
      </c>
      <c r="C30" t="inlineStr">
        <is>
          <t>judgment</t>
        </is>
      </c>
      <c r="D30" t="inlineStr"/>
      <c r="E30" t="inlineStr"/>
      <c r="F30" s="44" t="inlineStr">
        <is>
          <t>Within-scenario spread for a 2.9-beta name with ~96% realised volatility (priors); 0.15 default is too tight for a stock that fell 52% peak to trough in 2026.</t>
        </is>
      </c>
    </row>
    <row r="31">
      <c r="A31" s="44" t="inlineStr">
        <is>
          <t>scenarios</t>
        </is>
      </c>
      <c r="B31" t="inlineStr">
        <is>
          <t>bear 0.25 / base 0.5 / bull 0.25</t>
        </is>
      </c>
      <c r="C31" t="inlineStr">
        <is>
          <t>estimate</t>
        </is>
      </c>
      <c r="D31" t="inlineStr">
        <is>
          <t>11, 22</t>
        </is>
      </c>
      <c r="E31" t="inlineStr"/>
      <c r="F31" s="44" t="inlineStr">
        <is>
          <t>Agents' scenario probabilities: bear 0.27/0.33/0.25/0.25/0.25 (median 0.25), base 0.48/0.45/0.5/0.5/0.5 (0.5), bull 0.25/0.22/0.25/0.25/0.25 (0.25). Driver moves restate the agents' stories: bear = top_customer_pct add -0.12 (top customer revenue -46%), TAMs -10%, gm -3pt both, P/E -8; bull = optical_share +15%, copper_share +5%, top_customer_pct +0.02, TAMs +10%, gm +0.5pt both, P/E +3.5 (see scenarios.*.story).</t>
        </is>
      </c>
    </row>
    <row r="33">
      <c r="A33" s="3" t="inlineStr">
        <is>
          <t>#</t>
        </is>
      </c>
      <c r="B33" s="3" t="inlineStr">
        <is>
          <t>Source</t>
        </is>
      </c>
      <c r="C33" s="3" t="inlineStr">
        <is>
          <t>Date</t>
        </is>
      </c>
      <c r="D33" s="3" t="inlineStr">
        <is>
          <t>Link</t>
        </is>
      </c>
    </row>
    <row r="34">
      <c r="A34" t="n">
        <v>1</v>
      </c>
      <c r="B34" s="44" t="inlineStr">
        <is>
          <t>Credo Technology Crashed for 3 Months: This Wall Street Pro Says It's About to Double - 24/7 Wall St.</t>
        </is>
      </c>
      <c r="C34" t="inlineStr">
        <is>
          <t>2026-09-21</t>
        </is>
      </c>
      <c r="D34" t="inlineStr">
        <is>
          <t>https://247wallst.com/investing/2026/09/21/credo-technology-crashed-for-3-months-this-wall-street-pro-says-its-about-to-double/</t>
        </is>
      </c>
    </row>
    <row r="35">
      <c r="A35" t="n">
        <v>2</v>
      </c>
      <c r="B35" s="44" t="inlineStr">
        <is>
          <t>Credo Is Entering Its Hardest Test - Seeking Alpha (HTTP 403; its consensus figures could not be verified and are not used)</t>
        </is>
      </c>
      <c r="C35" t="inlineStr">
        <is>
          <t>2026-09</t>
        </is>
      </c>
      <c r="D35" t="inlineStr">
        <is>
          <t>https://seekingalpha.com/article/4940940-credo-is-entering-its-hardest-test</t>
        </is>
      </c>
    </row>
    <row r="36">
      <c r="A36" t="n">
        <v>3</v>
      </c>
      <c r="B36" s="44" t="inlineStr">
        <is>
          <t>CRDO Stock Forecast &amp; Price Targets - StockAnalysis (S&amp;P Global consensus: FY27 revenue $2.50B / EPS $6.31; next year (FY28) revenue $3.88B / EPS $9.71; page updated 2026-10-05)</t>
        </is>
      </c>
      <c r="C36" t="inlineStr">
        <is>
          <t>2026-10-26</t>
        </is>
      </c>
      <c r="D36" t="inlineStr">
        <is>
          <t>https://stockanalysis.com/stocks/crdo/forecast/</t>
        </is>
      </c>
    </row>
    <row r="37">
      <c r="A37" t="n">
        <v>4</v>
      </c>
      <c r="B37" s="44" t="inlineStr">
        <is>
          <t>Credo Technology Group Holding Ltd (CRDO) - Quantitative Forecast &amp; Factor Scores - AL Capital Advisory</t>
        </is>
      </c>
      <c r="C37" t="inlineStr">
        <is>
          <t>2026-09-26</t>
        </is>
      </c>
      <c r="D37" t="inlineStr">
        <is>
          <t>https://alcapitaladvisory.com/research/equities/crdo.html</t>
        </is>
      </c>
    </row>
    <row r="38">
      <c r="A38" t="n">
        <v>5</v>
      </c>
      <c r="B38" s="44" t="inlineStr">
        <is>
          <t>Credo Technology Group Holding Ltd earnings date - TipRanks</t>
        </is>
      </c>
      <c r="C38" t="inlineStr">
        <is>
          <t>2026-09</t>
        </is>
      </c>
      <c r="D38" t="inlineStr">
        <is>
          <t>https://www.tipranks.com/stocks/crdo/earnings</t>
        </is>
      </c>
    </row>
    <row r="39">
      <c r="A39" t="n">
        <v>6</v>
      </c>
      <c r="B39" s="44" t="inlineStr">
        <is>
          <t>Why is Credo Technology stock rallying today? (Mizuho note) - Investing.com</t>
        </is>
      </c>
      <c r="C39" t="inlineStr">
        <is>
          <t>2026-09-25</t>
        </is>
      </c>
      <c r="D39" t="inlineStr">
        <is>
          <t>https://ca.investing.com/news/stock-market-news/why-is-credo-technology-stock-rallying-today-93CH-4846693</t>
        </is>
      </c>
    </row>
    <row r="40">
      <c r="A40" t="n">
        <v>7</v>
      </c>
      <c r="B40" s="44" t="inlineStr">
        <is>
          <t>A 9-Day Winning Streak Has Credo Technology Stock Up 41% - Trefis</t>
        </is>
      </c>
      <c r="C40" t="inlineStr">
        <is>
          <t>2026-09-26</t>
        </is>
      </c>
      <c r="D40" t="inlineStr">
        <is>
          <t>https://www.trefis.com/stock/crdo/articles/616737/a-9-day-winning-streak-has-credo-technology-stock-up-41/2026-09-26</t>
        </is>
      </c>
    </row>
    <row r="41">
      <c r="A41" t="n">
        <v>8</v>
      </c>
      <c r="B41" s="44" t="inlineStr">
        <is>
          <t>6 Hyperscalers Are Projected to Spend $1.3 Trillion on Capex in 2027 - Motley Fool</t>
        </is>
      </c>
      <c r="C41" t="inlineStr">
        <is>
          <t>2026-09-06</t>
        </is>
      </c>
      <c r="D41" t="inlineStr">
        <is>
          <t>https://www.fool.com/investing/2026/09/06/hyperscalers-driving-ai-capex-cash-flow/</t>
        </is>
      </c>
    </row>
    <row r="42">
      <c r="A42" t="n">
        <v>9</v>
      </c>
      <c r="B42" s="44" t="inlineStr">
        <is>
          <t>Moody's: Hyperscaler capex forecasts close in on $1trn by 2027 - DCD (HTTP 403; not read, not used)</t>
        </is>
      </c>
      <c r="C42" t="inlineStr">
        <is>
          <t>2026</t>
        </is>
      </c>
      <c r="D42" t="inlineStr">
        <is>
          <t>https://www.datacenterdynamics.com/en/news/moodys-hyperscaler-capex-forecasts-marked-up-by-85bn-to-close-in-on-1trn-by-2027/</t>
        </is>
      </c>
    </row>
    <row r="43">
      <c r="A43" t="n">
        <v>10</v>
      </c>
      <c r="B43" s="44" t="inlineStr">
        <is>
          <t>Credo Reports First Quarter of Fiscal Year 2027 Financial Results (8-K Ex-99.1)</t>
        </is>
      </c>
      <c r="C43" t="inlineStr">
        <is>
          <t>2026-09-01</t>
        </is>
      </c>
      <c r="D43" t="inlineStr">
        <is>
          <t>https://www.sec.gov/Archives/edgar/data/0001807794/000162828026059795/credoq12027ex-991.htm</t>
        </is>
      </c>
    </row>
    <row r="44">
      <c r="A44" t="n">
        <v>11</v>
      </c>
      <c r="B44" s="44" t="inlineStr">
        <is>
          <t>Credo Form 10-Q for the quarter ended 2026-08-01</t>
        </is>
      </c>
      <c r="C44" t="inlineStr">
        <is>
          <t>2026-09-02</t>
        </is>
      </c>
      <c r="D44" t="inlineStr">
        <is>
          <t>https://www.sec.gov/Archives/edgar/data/1807794/000162828026060111/crdo-20260801.htm</t>
        </is>
      </c>
    </row>
    <row r="45">
      <c r="A45" t="n">
        <v>12</v>
      </c>
      <c r="B45" s="44" t="inlineStr">
        <is>
          <t>Credo Form 10-K for fiscal 2026 (ended 2026-05-02)</t>
        </is>
      </c>
      <c r="C45" t="inlineStr">
        <is>
          <t>2026-06-15</t>
        </is>
      </c>
      <c r="D45" t="inlineStr">
        <is>
          <t>https://www.sec.gov/Archives/edgar/data/1807794/000162828026043303/crdo-20260502.htm</t>
        </is>
      </c>
    </row>
    <row r="46">
      <c r="A46" t="n">
        <v>13</v>
      </c>
      <c r="B46" s="44" t="inlineStr">
        <is>
          <t>Credo Q4 and FY2026 results (8-K Ex-99.1)</t>
        </is>
      </c>
      <c r="C46" t="inlineStr">
        <is>
          <t>2026-06-01</t>
        </is>
      </c>
      <c r="D46" t="inlineStr">
        <is>
          <t>https://www.sec.gov/Archives/edgar/data/1807794/000162828026039474/credoq42026ex-991.htm</t>
        </is>
      </c>
    </row>
    <row r="47">
      <c r="A47" t="n">
        <v>14</v>
      </c>
      <c r="B47" s="44" t="inlineStr">
        <is>
          <t>Credo Q3 FY2026 results (8-K Ex-99.1)</t>
        </is>
      </c>
      <c r="C47" t="inlineStr">
        <is>
          <t>2026-03-02</t>
        </is>
      </c>
      <c r="D47" t="inlineStr">
        <is>
          <t>https://www.sec.gov/Archives/edgar/data/1807794/000162828026013205/credoq32026ex-9911.htm</t>
        </is>
      </c>
    </row>
    <row r="48">
      <c r="A48" t="n">
        <v>15</v>
      </c>
      <c r="B48" s="44" t="inlineStr">
        <is>
          <t>Credo preliminary Q3 FY2026 revenue and updated guidance (8-K Ex-99.1)</t>
        </is>
      </c>
      <c r="C48" t="inlineStr">
        <is>
          <t>2026-02-09</t>
        </is>
      </c>
      <c r="D48" t="inlineStr">
        <is>
          <t>https://www.sec.gov/Archives/edgar/data/1807794/000162828026006370/feb20268-kex991.htm</t>
        </is>
      </c>
    </row>
    <row r="49">
      <c r="A49" t="n">
        <v>16</v>
      </c>
      <c r="B49" s="44" t="inlineStr">
        <is>
          <t>Credo Q2 FY2026 results (8-K Ex-99.1)</t>
        </is>
      </c>
      <c r="C49" t="inlineStr">
        <is>
          <t>2025-12-01</t>
        </is>
      </c>
      <c r="D49" t="inlineStr">
        <is>
          <t>https://www.sec.gov/Archives/edgar/data/1807794/000162828025054428/credoq22026ex-991.htm</t>
        </is>
      </c>
    </row>
    <row r="50">
      <c r="A50" t="n">
        <v>17</v>
      </c>
      <c r="B50" s="44" t="inlineStr">
        <is>
          <t>Credo Q1 FY2026 results (8-K Ex-99.1)</t>
        </is>
      </c>
      <c r="C50" t="inlineStr">
        <is>
          <t>2025-09-03</t>
        </is>
      </c>
      <c r="D50" t="inlineStr">
        <is>
          <t>https://www.sec.gov/Archives/edgar/data/1807794/000180779425000018/credoq12026ex-991.htm</t>
        </is>
      </c>
    </row>
    <row r="51">
      <c r="A51" t="n">
        <v>18</v>
      </c>
      <c r="B51" s="44" t="inlineStr">
        <is>
          <t>Credo Q4 FY2025 results (8-K Ex-99.1)</t>
        </is>
      </c>
      <c r="C51" t="inlineStr">
        <is>
          <t>2025-06-02</t>
        </is>
      </c>
      <c r="D51" t="inlineStr">
        <is>
          <t>https://www.sec.gov/Archives/edgar/data/1807794/000162828025028827/credoq42025ex-991.htm</t>
        </is>
      </c>
    </row>
    <row r="52">
      <c r="A52" t="n">
        <v>19</v>
      </c>
      <c r="B52" s="44" t="inlineStr">
        <is>
          <t>Credo Q3 FY2025 results (8-K Ex-99.1)</t>
        </is>
      </c>
      <c r="C52" t="inlineStr">
        <is>
          <t>2025-03-04</t>
        </is>
      </c>
      <c r="D52" t="inlineStr">
        <is>
          <t>https://www.sec.gov/Archives/edgar/data/1807794/000162828025009813/credoq32025ex-991.htm</t>
        </is>
      </c>
    </row>
    <row r="53">
      <c r="A53" t="n">
        <v>20</v>
      </c>
      <c r="B53" s="44" t="inlineStr">
        <is>
          <t>Credo Q2 FY2025 results (8-K Ex-99.1)</t>
        </is>
      </c>
      <c r="C53" t="inlineStr">
        <is>
          <t>2024-12-02</t>
        </is>
      </c>
      <c r="D53" t="inlineStr">
        <is>
          <t>https://www.sec.gov/Archives/edgar/data/1807794/000162828024049564/credoq22025ex-991.htm</t>
        </is>
      </c>
    </row>
    <row r="54">
      <c r="A54" t="n">
        <v>21</v>
      </c>
      <c r="B54" s="44" t="inlineStr">
        <is>
          <t>Credo Q1 FY2025 results (8-K Ex-99.1)</t>
        </is>
      </c>
      <c r="C54" t="inlineStr">
        <is>
          <t>2024-09-04</t>
        </is>
      </c>
      <c r="D54" t="inlineStr">
        <is>
          <t>https://www.sec.gov/Archives/edgar/data/1807794/000162828024039309/credoq12025ex-991.htm</t>
        </is>
      </c>
    </row>
    <row r="55">
      <c r="A55" t="n">
        <v>22</v>
      </c>
      <c r="B55" s="44" t="inlineStr">
        <is>
          <t>Credo (CRDO) Q1 FY2027 earnings call transcript (Motley Fool)</t>
        </is>
      </c>
      <c r="C55" t="inlineStr">
        <is>
          <t>2026-09-08</t>
        </is>
      </c>
      <c r="D55" t="inlineStr">
        <is>
          <t>https://www.fool.com/earnings/call-transcripts/2026/09/08/credo-crdo-q1-2027-earnings-call-transcript/</t>
        </is>
      </c>
    </row>
    <row r="56">
      <c r="A56" t="n">
        <v>23</v>
      </c>
      <c r="B56" s="44" t="inlineStr">
        <is>
          <t>Project AI-capex build (adhoc/nvda_customer_capex.json + .md, as of 2026-10-05; META-5 row fixed 2026-10-25): Big-4 2025 actuals and the CY2026-28 base scenario used in the NVDA driver set (Kilian card 2026-10-25 23:28Z "Keep our build")</t>
        </is>
      </c>
      <c r="C56" t="inlineStr">
        <is>
          <t>2026-10-25</t>
        </is>
      </c>
      <c r="D56" t="inlineStr">
        <is>
          <t>/mnt/project-files/adhoc/nvda_customer_capex.md</t>
        </is>
      </c>
    </row>
    <row r="57">
      <c r="A57" t="n">
        <v>24</v>
      </c>
      <c r="B57" s="44" t="inlineStr">
        <is>
          <t>Alphabet Q4 2025 earnings call (2025 capex $91.4B)</t>
        </is>
      </c>
      <c r="C57" t="inlineStr">
        <is>
          <t>2026-02-04</t>
        </is>
      </c>
      <c r="D57" t="inlineStr">
        <is>
          <t>https://abc.xyz/investor/events/event-details/2026/2025-Q4-Earnings-Call-2026-Dr_C033hS6/default.aspx</t>
        </is>
      </c>
    </row>
    <row r="58">
      <c r="A58" t="n">
        <v>25</v>
      </c>
      <c r="B58" s="44" t="inlineStr">
        <is>
          <t>Meta Q4 2025 results (8-K Ex-99.1; 2025 capex $72.22B)</t>
        </is>
      </c>
      <c r="C58" t="inlineStr">
        <is>
          <t>2026-01-28</t>
        </is>
      </c>
      <c r="D58" t="inlineStr">
        <is>
          <t>https://www.sec.gov/Archives/edgar/data/1326801/000162828026003832/meta-12312025xexhibit991.htm</t>
        </is>
      </c>
    </row>
    <row r="59">
      <c r="A59" t="n">
        <v>26</v>
      </c>
      <c r="B59" s="44" t="inlineStr">
        <is>
          <t>Amazon Q4 2025 results (8-K Ex-99.1; 2025 purchases of P&amp;E $131.8B)</t>
        </is>
      </c>
      <c r="C59" t="inlineStr">
        <is>
          <t>2026-02-05</t>
        </is>
      </c>
      <c r="D59" t="inlineStr">
        <is>
          <t>https://www.sec.gov/Archives/edgar/data/1018724/000101872426000002/amzn-20251231xex991.htm</t>
        </is>
      </c>
    </row>
    <row r="60">
      <c r="A60" t="n">
        <v>27</v>
      </c>
      <c r="B60" s="44" t="inlineStr">
        <is>
          <t>Peer comps table runs/2026-10-23/CRDO/peers.md (peers.py: SEC XBRL trailing figures, Yahoo last close, Nasdaq.com/Zacks consensus EPS snapshots 2026-10-26)</t>
        </is>
      </c>
      <c r="C60" t="inlineStr">
        <is>
          <t>2026-10-26</t>
        </is>
      </c>
      <c r="D60" t="inlineStr">
        <is>
          <t>/mnt/project-files/valuation/runs/2026-10-23/CRDO/peers.md</t>
        </is>
      </c>
    </row>
    <row r="61">
      <c r="A61" t="n">
        <v>28</v>
      </c>
      <c r="B61" s="44" t="inlineStr">
        <is>
          <t>Nasdaq.com analyst earnings forecast for CRDO (Zacks consensus EPS FY27 $5.02, FY28 $8.30, 6 estimates each): saved snapshot retrieved 2026-10-26T06:02:23Z from https://api.nasdaq.com/api/analyst/CRDO/earnings-forecast</t>
        </is>
      </c>
      <c r="C61" t="inlineStr">
        <is>
          <t>2026-10-26</t>
        </is>
      </c>
      <c r="D61" t="inlineStr">
        <is>
          <t>/mnt/project-files/valuation/data/estimates/CRDO.json</t>
        </is>
      </c>
    </row>
    <row r="62">
      <c r="A62" t="n">
        <v>29</v>
      </c>
      <c r="B62" s="44" t="inlineStr">
        <is>
          <t>Yahoo Finance daily chart feed for CRDO, 2026-09-01 to 2026-10-23 (2026-09-14 close $150.09; 2026-10-23 close $147.29)</t>
        </is>
      </c>
      <c r="C62" t="inlineStr">
        <is>
          <t>2026-10-26</t>
        </is>
      </c>
      <c r="D62" t="inlineStr">
        <is>
          <t>https://query1.finance.yahoo.com/v8/finance/chart/CRDO?period1=1788220800&amp;period2=1792972800&amp;interval=1d</t>
        </is>
      </c>
    </row>
    <row r="63">
      <c r="A63" t="n">
        <v>30</v>
      </c>
      <c r="B63" s="44" t="inlineStr">
        <is>
          <t>Credo Form 10-K for fiscal 2025 (ended 2025-05-03): revenue by type (product sales $412.2M, product engineering services $12.1M, IP license $12.5M) and AEC &gt;95% of the product-sales increase</t>
        </is>
      </c>
      <c r="C63" t="inlineStr">
        <is>
          <t>2025-07-02</t>
        </is>
      </c>
      <c r="D63" t="inlineStr">
        <is>
          <t>https://www.sec.gov/Archives/edgar/data/1807794/000162828025033813/crdo-20250503.htm</t>
        </is>
      </c>
    </row>
    <row r="64">
      <c r="A64" t="n">
        <v>31</v>
      </c>
      <c r="B64" s="44" t="inlineStr">
        <is>
          <t>POET Technologies Form 20-F FY2025, Item 4.B Target Markets, quoting LightCounting's January 2026 forecast: 'The AI cluster Ethernet optics market ... is $26 billion in 2026, up ~60% year-over-year from $16.5 billion in 2025' (replaces the LightCounting newsletter page, HTTP 403)</t>
        </is>
      </c>
      <c r="C64" t="inlineStr">
        <is>
          <t>2026-03-31</t>
        </is>
      </c>
      <c r="D64" t="inlineStr">
        <is>
          <t>https://www.sec.gov/Archives/edgar/data/1437424/000149315226014253/form20-f.htm</t>
        </is>
      </c>
    </row>
    <row r="65">
      <c r="A65" t="n">
        <v>32</v>
      </c>
      <c r="B65" s="44" t="inlineStr">
        <is>
          <t>Lightwave, 'Ethernet optical transceiver set to grow 120% in 2026' (LightCounting forecast: +120% in 2026, growth declining to +76% in 2027 and 20% by 2031; LightCounting assumes cloud capex +50% in 2027)</t>
        </is>
      </c>
      <c r="C65" t="inlineStr">
        <is>
          <t>2026-10-08</t>
        </is>
      </c>
      <c r="D65" t="inlineStr">
        <is>
          <t>https://www.lightwaveonline.com/home/news/55410716/ethernet-optical-transceiver-set-to-grow-120-in-2026</t>
        </is>
      </c>
    </row>
    <row r="66">
      <c r="A66" t="n">
        <v>33</v>
      </c>
      <c r="B66" s="44" t="inlineStr">
        <is>
          <t>Lightwave, 'AI scale-up raises the stakes for transceivers and CPO adoption' (LightCounting 'Optics for AI Clusters': optics sales to the top five cloud providers 3.1% of their capex in 2026, up from 2.7% in 2025, 4.1% by 2031; prints $8B for 2025 sales and $20B for 2030) (replaces the LightCounting April newsletter page, HTTP 403)</t>
        </is>
      </c>
      <c r="C66" t="inlineStr">
        <is>
          <t>2026-03-10</t>
        </is>
      </c>
      <c r="D66" t="inlineStr">
        <is>
          <t>https://lightwaveonline.com/home/article/55362899/ai-scale-up-raises-the-stakes-for-transceivers-and-cpo-adoption</t>
        </is>
      </c>
    </row>
    <row r="67">
      <c r="A67" t="n">
        <v>34</v>
      </c>
      <c r="B67" s="44" t="inlineStr">
        <is>
          <t>Credo press release, 'Credo Agrees to Acquire DustPhotonics': $750M cash and ~0.92M shares upfront, plus up to ~3.21M additional shares on certain financial milestones</t>
        </is>
      </c>
      <c r="C67" t="inlineStr">
        <is>
          <t>2026-04-13</t>
        </is>
      </c>
      <c r="D67" t="inlineStr">
        <is>
          <t>https://investors.credosemi.com/news-events/news/news-details/2026/Credo-Agrees-to-Acquire-DustPhotonics-Accelerating-Expansion-into-Silicon-Photonics-and-Next-Generation-Optical-Connectivity/default.aspx</t>
        </is>
      </c>
    </row>
    <row r="69">
      <c r="A69" s="3" t="inlineStr">
        <is>
          <t>Fact id</t>
        </is>
      </c>
      <c r="B69" s="3" t="inlineStr">
        <is>
          <t>Figure</t>
        </is>
      </c>
      <c r="C69" s="3" t="inlineStr">
        <is>
          <t>Value</t>
        </is>
      </c>
      <c r="D69" s="3" t="inlineStr">
        <is>
          <t>Filing</t>
        </is>
      </c>
    </row>
    <row r="70">
      <c r="A70" t="inlineStr">
        <is>
          <t>F1</t>
        </is>
      </c>
      <c r="B70" t="inlineStr">
        <is>
          <t>revenue FY ending 2024-04-27 (us-gaap:RevenueFromContractWithCustomerExcludingAssessedTax)</t>
        </is>
      </c>
      <c r="C70" s="50" t="n">
        <v>192970000</v>
      </c>
      <c r="D70" t="inlineStr">
        <is>
          <t>https://www.sec.gov/Archives/edgar/data/1807794/000162828026043303/</t>
        </is>
      </c>
    </row>
    <row r="71">
      <c r="A71" t="inlineStr">
        <is>
          <t>F2</t>
        </is>
      </c>
      <c r="B71" t="inlineStr">
        <is>
          <t>revenue FY ending 2025-05-03 (us-gaap:RevenueFromContractWithCustomerExcludingAssessedTax)</t>
        </is>
      </c>
      <c r="C71" s="50" t="n">
        <v>436775000</v>
      </c>
      <c r="D71" t="inlineStr">
        <is>
          <t>https://www.sec.gov/Archives/edgar/data/1807794/000162828026043303/</t>
        </is>
      </c>
    </row>
    <row r="72">
      <c r="A72" t="inlineStr">
        <is>
          <t>F3</t>
        </is>
      </c>
      <c r="B72" t="inlineStr">
        <is>
          <t>revenue FY ending 2026-05-02 (us-gaap:RevenueFromContractWithCustomerExcludingAssessedTax)</t>
        </is>
      </c>
      <c r="C72" s="50" t="n">
        <v>1335116000</v>
      </c>
      <c r="D72" t="inlineStr">
        <is>
          <t>https://www.sec.gov/Archives/edgar/data/1807794/000162828026043303/</t>
        </is>
      </c>
    </row>
    <row r="73">
      <c r="A73" t="inlineStr">
        <is>
          <t>F4</t>
        </is>
      </c>
      <c r="B73" t="inlineStr">
        <is>
          <t>revenue YTD 2026-05-03 to 2026-08-01</t>
        </is>
      </c>
      <c r="C73" s="50" t="n">
        <v>479003000</v>
      </c>
      <c r="D73" t="inlineStr">
        <is>
          <t>https://www.sec.gov/Archives/edgar/data/1807794/000162828026060111/</t>
        </is>
      </c>
    </row>
    <row r="74">
      <c r="A74" t="inlineStr">
        <is>
          <t>F5</t>
        </is>
      </c>
      <c r="B74" t="inlineStr">
        <is>
          <t>revenue prior-year YTD 2025-05-04 to 2025-08-02</t>
        </is>
      </c>
      <c r="C74" s="50" t="n">
        <v>223074000</v>
      </c>
      <c r="D74" t="inlineStr">
        <is>
          <t>https://www.sec.gov/Archives/edgar/data/1807794/000162828026060111/</t>
        </is>
      </c>
    </row>
    <row r="75">
      <c r="A75" t="inlineStr">
        <is>
          <t>F6</t>
        </is>
      </c>
      <c r="B75" t="inlineStr">
        <is>
          <t>revenue TTM to 2026-08-01</t>
        </is>
      </c>
      <c r="C75" s="50" t="n">
        <v>1591045000</v>
      </c>
    </row>
    <row r="76">
      <c r="A76" t="inlineStr">
        <is>
          <t>F7</t>
        </is>
      </c>
      <c r="B76" t="inlineStr">
        <is>
          <t>revenue quarter 2026-05-03 to 2026-08-01</t>
        </is>
      </c>
      <c r="C76" s="50" t="n">
        <v>479003000</v>
      </c>
      <c r="D76" t="inlineStr">
        <is>
          <t>https://www.sec.gov/Archives/edgar/data/1807794/000162828026060111/</t>
        </is>
      </c>
    </row>
    <row r="77">
      <c r="A77" t="inlineStr">
        <is>
          <t>F8</t>
        </is>
      </c>
      <c r="B77" t="inlineStr">
        <is>
          <t>operating_income FY ending 2024-04-27 (us-gaap:OperatingIncomeLoss)</t>
        </is>
      </c>
      <c r="C77" s="50" t="n">
        <v>-37058000</v>
      </c>
      <c r="D77" t="inlineStr">
        <is>
          <t>https://www.sec.gov/Archives/edgar/data/1807794/000162828026043303/</t>
        </is>
      </c>
    </row>
    <row r="78">
      <c r="A78" t="inlineStr">
        <is>
          <t>F9</t>
        </is>
      </c>
      <c r="B78" t="inlineStr">
        <is>
          <t>operating_income FY ending 2025-05-03 (us-gaap:OperatingIncomeLoss)</t>
        </is>
      </c>
      <c r="C78" s="50" t="n">
        <v>37124000</v>
      </c>
      <c r="D78" t="inlineStr">
        <is>
          <t>https://www.sec.gov/Archives/edgar/data/1807794/000162828026043303/</t>
        </is>
      </c>
    </row>
    <row r="79">
      <c r="A79" t="inlineStr">
        <is>
          <t>F10</t>
        </is>
      </c>
      <c r="B79" t="inlineStr">
        <is>
          <t>operating_income FY ending 2026-05-02 (us-gaap:OperatingIncomeLoss)</t>
        </is>
      </c>
      <c r="C79" s="50" t="n">
        <v>445005000</v>
      </c>
      <c r="D79" t="inlineStr">
        <is>
          <t>https://www.sec.gov/Archives/edgar/data/1807794/000162828026043303/</t>
        </is>
      </c>
    </row>
    <row r="80">
      <c r="A80" t="inlineStr">
        <is>
          <t>F11</t>
        </is>
      </c>
      <c r="B80" t="inlineStr">
        <is>
          <t>operating_income YTD 2026-05-03 to 2026-08-01</t>
        </is>
      </c>
      <c r="C80" s="50" t="n">
        <v>120700000</v>
      </c>
      <c r="D80" t="inlineStr">
        <is>
          <t>https://www.sec.gov/Archives/edgar/data/1807794/000162828026060111/</t>
        </is>
      </c>
    </row>
    <row r="81">
      <c r="A81" t="inlineStr">
        <is>
          <t>F12</t>
        </is>
      </c>
      <c r="B81" t="inlineStr">
        <is>
          <t>operating_income prior-year YTD 2025-05-04 to 2025-08-02</t>
        </is>
      </c>
      <c r="C81" s="50" t="n">
        <v>60742000</v>
      </c>
      <c r="D81" t="inlineStr">
        <is>
          <t>https://www.sec.gov/Archives/edgar/data/1807794/000162828026060111/</t>
        </is>
      </c>
    </row>
    <row r="82">
      <c r="A82" t="inlineStr">
        <is>
          <t>F13</t>
        </is>
      </c>
      <c r="B82" t="inlineStr">
        <is>
          <t>operating_income TTM to 2026-08-01</t>
        </is>
      </c>
      <c r="C82" s="50" t="n">
        <v>504963000</v>
      </c>
    </row>
    <row r="83">
      <c r="A83" t="inlineStr">
        <is>
          <t>F14</t>
        </is>
      </c>
      <c r="B83" t="inlineStr">
        <is>
          <t>operating_income quarter 2026-05-03 to 2026-08-01</t>
        </is>
      </c>
      <c r="C83" s="50" t="n">
        <v>120700000</v>
      </c>
      <c r="D83" t="inlineStr">
        <is>
          <t>https://www.sec.gov/Archives/edgar/data/1807794/000162828026060111/</t>
        </is>
      </c>
    </row>
    <row r="84">
      <c r="A84" t="inlineStr">
        <is>
          <t>F15</t>
        </is>
      </c>
      <c r="B84" t="inlineStr">
        <is>
          <t>net_income FY ending 2024-04-27 (us-gaap:NetIncomeLoss)</t>
        </is>
      </c>
      <c r="C84" s="50" t="n">
        <v>-28369000</v>
      </c>
      <c r="D84" t="inlineStr">
        <is>
          <t>https://www.sec.gov/Archives/edgar/data/1807794/000162828026043303/</t>
        </is>
      </c>
    </row>
    <row r="85">
      <c r="A85" t="inlineStr">
        <is>
          <t>F16</t>
        </is>
      </c>
      <c r="B85" t="inlineStr">
        <is>
          <t>net_income FY ending 2025-05-03 (us-gaap:NetIncomeLoss)</t>
        </is>
      </c>
      <c r="C85" s="50" t="n">
        <v>52183000</v>
      </c>
      <c r="D85" t="inlineStr">
        <is>
          <t>https://www.sec.gov/Archives/edgar/data/1807794/000162828026043303/</t>
        </is>
      </c>
    </row>
    <row r="86">
      <c r="A86" t="inlineStr">
        <is>
          <t>F17</t>
        </is>
      </c>
      <c r="B86" t="inlineStr">
        <is>
          <t>net_income FY ending 2026-05-02 (us-gaap:NetIncomeLoss)</t>
        </is>
      </c>
      <c r="C86" s="50" t="n">
        <v>472279000</v>
      </c>
      <c r="D86" t="inlineStr">
        <is>
          <t>https://www.sec.gov/Archives/edgar/data/1807794/000162828026043303/</t>
        </is>
      </c>
    </row>
    <row r="87">
      <c r="A87" t="inlineStr">
        <is>
          <t>F18</t>
        </is>
      </c>
      <c r="B87" t="inlineStr">
        <is>
          <t>net_income YTD 2026-05-03 to 2026-08-01</t>
        </is>
      </c>
      <c r="C87" s="50" t="n">
        <v>129425000</v>
      </c>
      <c r="D87" t="inlineStr">
        <is>
          <t>https://www.sec.gov/Archives/edgar/data/1807794/000162828026060111/</t>
        </is>
      </c>
    </row>
    <row r="88">
      <c r="A88" t="inlineStr">
        <is>
          <t>F19</t>
        </is>
      </c>
      <c r="B88" t="inlineStr">
        <is>
          <t>net_income prior-year YTD 2025-05-04 to 2025-08-02</t>
        </is>
      </c>
      <c r="C88" s="50" t="n">
        <v>63399000</v>
      </c>
      <c r="D88" t="inlineStr">
        <is>
          <t>https://www.sec.gov/Archives/edgar/data/1807794/000162828026060111/</t>
        </is>
      </c>
    </row>
    <row r="89">
      <c r="A89" t="inlineStr">
        <is>
          <t>F20</t>
        </is>
      </c>
      <c r="B89" t="inlineStr">
        <is>
          <t>net_income TTM to 2026-08-01</t>
        </is>
      </c>
      <c r="C89" s="50" t="n">
        <v>538305000</v>
      </c>
    </row>
    <row r="90">
      <c r="A90" t="inlineStr">
        <is>
          <t>F21</t>
        </is>
      </c>
      <c r="B90" t="inlineStr">
        <is>
          <t>net_income quarter 2026-05-03 to 2026-08-01</t>
        </is>
      </c>
      <c r="C90" s="50" t="n">
        <v>129425000</v>
      </c>
      <c r="D90" t="inlineStr">
        <is>
          <t>https://www.sec.gov/Archives/edgar/data/1807794/000162828026060111/</t>
        </is>
      </c>
    </row>
    <row r="91">
      <c r="A91" t="inlineStr">
        <is>
          <t>F22</t>
        </is>
      </c>
      <c r="B91" t="inlineStr">
        <is>
          <t>eps_diluted FY ending 2024-04-27 (us-gaap:EarningsPerShareDiluted)</t>
        </is>
      </c>
      <c r="C91" s="50" t="n">
        <v>-0.18</v>
      </c>
      <c r="D91" t="inlineStr">
        <is>
          <t>https://www.sec.gov/Archives/edgar/data/1807794/000162828026043303/</t>
        </is>
      </c>
    </row>
    <row r="92">
      <c r="A92" t="inlineStr">
        <is>
          <t>F23</t>
        </is>
      </c>
      <c r="B92" t="inlineStr">
        <is>
          <t>eps_diluted FY ending 2025-05-03 (us-gaap:EarningsPerShareDiluted)</t>
        </is>
      </c>
      <c r="C92" s="50" t="n">
        <v>0.29</v>
      </c>
      <c r="D92" t="inlineStr">
        <is>
          <t>https://www.sec.gov/Archives/edgar/data/1807794/000162828026043303/</t>
        </is>
      </c>
    </row>
    <row r="93">
      <c r="A93" t="inlineStr">
        <is>
          <t>F24</t>
        </is>
      </c>
      <c r="B93" t="inlineStr">
        <is>
          <t>eps_diluted FY ending 2026-05-02 (us-gaap:EarningsPerShareDiluted)</t>
        </is>
      </c>
      <c r="C93" s="50" t="n">
        <v>2.51</v>
      </c>
      <c r="D93" t="inlineStr">
        <is>
          <t>https://www.sec.gov/Archives/edgar/data/1807794/000162828026043303/</t>
        </is>
      </c>
    </row>
    <row r="94">
      <c r="A94" t="inlineStr">
        <is>
          <t>F25</t>
        </is>
      </c>
      <c r="B94" t="inlineStr">
        <is>
          <t>eps_diluted YTD 2026-05-03 to 2026-08-01</t>
        </is>
      </c>
      <c r="C94" s="50" t="n">
        <v>0.67</v>
      </c>
      <c r="D94" t="inlineStr">
        <is>
          <t>https://www.sec.gov/Archives/edgar/data/1807794/000162828026060111/</t>
        </is>
      </c>
    </row>
    <row r="95">
      <c r="A95" t="inlineStr">
        <is>
          <t>F26</t>
        </is>
      </c>
      <c r="B95" t="inlineStr">
        <is>
          <t>eps_diluted prior-year YTD 2025-05-04 to 2025-08-02</t>
        </is>
      </c>
      <c r="C95" s="50" t="n">
        <v>0.34</v>
      </c>
      <c r="D95" t="inlineStr">
        <is>
          <t>https://www.sec.gov/Archives/edgar/data/1807794/000162828026060111/</t>
        </is>
      </c>
    </row>
    <row r="96">
      <c r="A96" t="inlineStr">
        <is>
          <t>F27</t>
        </is>
      </c>
      <c r="B96" t="inlineStr">
        <is>
          <t>eps_diluted quarter 2026-05-03 to 2026-08-01</t>
        </is>
      </c>
      <c r="C96" s="50" t="n">
        <v>0.67</v>
      </c>
      <c r="D96" t="inlineStr">
        <is>
          <t>https://www.sec.gov/Archives/edgar/data/1807794/000162828026060111/</t>
        </is>
      </c>
    </row>
    <row r="97">
      <c r="A97" t="inlineStr">
        <is>
          <t>F28</t>
        </is>
      </c>
      <c r="B97" t="inlineStr">
        <is>
          <t>diluted_shares_wavg FY ending 2024-04-27 (us-gaap:WeightedAverageNumberOfDilutedSharesOutstanding)</t>
        </is>
      </c>
      <c r="C97" s="50" t="n">
        <v>155091000</v>
      </c>
      <c r="D97" t="inlineStr">
        <is>
          <t>https://www.sec.gov/Archives/edgar/data/1807794/000162828026043303/</t>
        </is>
      </c>
    </row>
    <row r="98">
      <c r="A98" t="inlineStr">
        <is>
          <t>F29</t>
        </is>
      </c>
      <c r="B98" t="inlineStr">
        <is>
          <t>diluted_shares_wavg FY ending 2025-05-03 (us-gaap:WeightedAverageNumberOfDilutedSharesOutstanding)</t>
        </is>
      </c>
      <c r="C98" s="50" t="n">
        <v>181158000</v>
      </c>
      <c r="D98" t="inlineStr">
        <is>
          <t>https://www.sec.gov/Archives/edgar/data/1807794/000162828026043303/</t>
        </is>
      </c>
    </row>
    <row r="99">
      <c r="A99" t="inlineStr">
        <is>
          <t>F30</t>
        </is>
      </c>
      <c r="B99" t="inlineStr">
        <is>
          <t>diluted_shares_wavg FY ending 2026-05-02 (us-gaap:WeightedAverageNumberOfDilutedSharesOutstanding)</t>
        </is>
      </c>
      <c r="C99" s="50" t="n">
        <v>188232000</v>
      </c>
      <c r="D99" t="inlineStr">
        <is>
          <t>https://www.sec.gov/Archives/edgar/data/1807794/000162828026043303/</t>
        </is>
      </c>
    </row>
    <row r="100">
      <c r="A100" t="inlineStr">
        <is>
          <t>F31</t>
        </is>
      </c>
      <c r="B100" t="inlineStr">
        <is>
          <t>diluted_shares_wavg YTD 2026-05-03 to 2026-08-01</t>
        </is>
      </c>
      <c r="C100" s="50" t="n">
        <v>194378000</v>
      </c>
      <c r="D100" t="inlineStr">
        <is>
          <t>https://www.sec.gov/Archives/edgar/data/1807794/000162828026060111/</t>
        </is>
      </c>
    </row>
    <row r="101">
      <c r="A101" t="inlineStr">
        <is>
          <t>F32</t>
        </is>
      </c>
      <c r="B101" t="inlineStr">
        <is>
          <t>diluted_shares_wavg prior-year YTD 2025-05-04 to 2025-08-02</t>
        </is>
      </c>
      <c r="C101" s="50" t="n">
        <v>184577000</v>
      </c>
      <c r="D101" t="inlineStr">
        <is>
          <t>https://www.sec.gov/Archives/edgar/data/1807794/000162828026060111/</t>
        </is>
      </c>
    </row>
    <row r="102">
      <c r="A102" t="inlineStr">
        <is>
          <t>F33</t>
        </is>
      </c>
      <c r="B102" t="inlineStr">
        <is>
          <t>diluted_shares_wavg quarter 2026-05-03 to 2026-08-01</t>
        </is>
      </c>
      <c r="C102" s="50" t="n">
        <v>194378000</v>
      </c>
      <c r="D102" t="inlineStr">
        <is>
          <t>https://www.sec.gov/Archives/edgar/data/1807794/000162828026060111/</t>
        </is>
      </c>
    </row>
    <row r="103">
      <c r="A103" t="inlineStr">
        <is>
          <t>F34</t>
        </is>
      </c>
      <c r="B103" t="inlineStr">
        <is>
          <t>d_and_a FY ending 2024-04-27 (us-gaap:DepreciationDepletionAndAmortization)</t>
        </is>
      </c>
      <c r="C103" s="50" t="n">
        <v>13771000</v>
      </c>
      <c r="D103" t="inlineStr">
        <is>
          <t>https://www.sec.gov/Archives/edgar/data/1807794/000162828026043303/</t>
        </is>
      </c>
    </row>
    <row r="104">
      <c r="A104" t="inlineStr">
        <is>
          <t>F35</t>
        </is>
      </c>
      <c r="B104" t="inlineStr">
        <is>
          <t>d_and_a FY ending 2025-05-03 (us-gaap:DepreciationDepletionAndAmortization)</t>
        </is>
      </c>
      <c r="C104" s="50" t="n">
        <v>21938000</v>
      </c>
      <c r="D104" t="inlineStr">
        <is>
          <t>https://www.sec.gov/Archives/edgar/data/1807794/000162828026043303/</t>
        </is>
      </c>
    </row>
    <row r="105">
      <c r="A105" t="inlineStr">
        <is>
          <t>F36</t>
        </is>
      </c>
      <c r="B105" t="inlineStr">
        <is>
          <t>d_and_a FY ending 2026-05-02 (us-gaap:DepreciationDepletionAndAmortization)</t>
        </is>
      </c>
      <c r="C105" s="50" t="n">
        <v>34637000</v>
      </c>
      <c r="D105" t="inlineStr">
        <is>
          <t>https://www.sec.gov/Archives/edgar/data/1807794/000162828026043303/</t>
        </is>
      </c>
    </row>
    <row r="106">
      <c r="A106" t="inlineStr">
        <is>
          <t>F37</t>
        </is>
      </c>
      <c r="B106" t="inlineStr">
        <is>
          <t>d_and_a YTD 2026-05-03 to 2026-08-01</t>
        </is>
      </c>
      <c r="C106" s="50" t="n">
        <v>8606000</v>
      </c>
      <c r="D106" t="inlineStr">
        <is>
          <t>https://www.sec.gov/Archives/edgar/data/1807794/000162828026060111/</t>
        </is>
      </c>
    </row>
    <row r="107">
      <c r="A107" t="inlineStr">
        <is>
          <t>F38</t>
        </is>
      </c>
      <c r="B107" t="inlineStr">
        <is>
          <t>d_and_a prior-year YTD 2025-05-04 to 2025-08-02</t>
        </is>
      </c>
      <c r="C107" s="50" t="n">
        <v>5460000</v>
      </c>
      <c r="D107" t="inlineStr">
        <is>
          <t>https://www.sec.gov/Archives/edgar/data/1807794/000162828026060111/</t>
        </is>
      </c>
    </row>
    <row r="108">
      <c r="A108" t="inlineStr">
        <is>
          <t>F39</t>
        </is>
      </c>
      <c r="B108" t="inlineStr">
        <is>
          <t>d_and_a TTM to 2026-08-01</t>
        </is>
      </c>
      <c r="C108" s="50" t="n">
        <v>37783000</v>
      </c>
    </row>
    <row r="109">
      <c r="A109" t="inlineStr">
        <is>
          <t>F40</t>
        </is>
      </c>
      <c r="B109" t="inlineStr">
        <is>
          <t>d_and_a quarter 2026-05-03 to 2026-08-01</t>
        </is>
      </c>
      <c r="C109" s="50" t="n">
        <v>8606000</v>
      </c>
      <c r="D109" t="inlineStr">
        <is>
          <t>https://www.sec.gov/Archives/edgar/data/1807794/000162828026060111/</t>
        </is>
      </c>
    </row>
    <row r="110">
      <c r="A110" t="inlineStr">
        <is>
          <t>F41</t>
        </is>
      </c>
      <c r="B110" t="inlineStr">
        <is>
          <t>sbc FY ending 2024-04-27 (us-gaap:ShareBasedCompensation)</t>
        </is>
      </c>
      <c r="C110" s="50" t="n">
        <v>39022000</v>
      </c>
      <c r="D110" t="inlineStr">
        <is>
          <t>https://www.sec.gov/Archives/edgar/data/1807794/000162828026043303/</t>
        </is>
      </c>
    </row>
    <row r="111">
      <c r="A111" t="inlineStr">
        <is>
          <t>F42</t>
        </is>
      </c>
      <c r="B111" t="inlineStr">
        <is>
          <t>sbc FY ending 2025-05-03 (us-gaap:ShareBasedCompensation)</t>
        </is>
      </c>
      <c r="C111" s="50" t="n">
        <v>77355000</v>
      </c>
      <c r="D111" t="inlineStr">
        <is>
          <t>https://www.sec.gov/Archives/edgar/data/1807794/000162828026043303/</t>
        </is>
      </c>
    </row>
    <row r="112">
      <c r="A112" t="inlineStr">
        <is>
          <t>F43</t>
        </is>
      </c>
      <c r="B112" t="inlineStr">
        <is>
          <t>sbc FY ending 2026-05-02 (us-gaap:ShareBasedCompensation)</t>
        </is>
      </c>
      <c r="C112" s="50" t="n">
        <v>182638000</v>
      </c>
      <c r="D112" t="inlineStr">
        <is>
          <t>https://www.sec.gov/Archives/edgar/data/1807794/000162828026043303/</t>
        </is>
      </c>
    </row>
    <row r="113">
      <c r="A113" t="inlineStr">
        <is>
          <t>F44</t>
        </is>
      </c>
      <c r="B113" t="inlineStr">
        <is>
          <t>sbc YTD 2026-05-03 to 2026-08-01</t>
        </is>
      </c>
      <c r="C113" s="50" t="n">
        <v>87979000</v>
      </c>
      <c r="D113" t="inlineStr">
        <is>
          <t>https://www.sec.gov/Archives/edgar/data/1807794/000162828026060111/</t>
        </is>
      </c>
    </row>
    <row r="114">
      <c r="A114" t="inlineStr">
        <is>
          <t>F45</t>
        </is>
      </c>
      <c r="B114" t="inlineStr">
        <is>
          <t>sbc prior-year YTD 2025-05-04 to 2025-08-02</t>
        </is>
      </c>
      <c r="C114" s="50" t="n">
        <v>35455000</v>
      </c>
      <c r="D114" t="inlineStr">
        <is>
          <t>https://www.sec.gov/Archives/edgar/data/1807794/000162828026060111/</t>
        </is>
      </c>
    </row>
    <row r="115">
      <c r="A115" t="inlineStr">
        <is>
          <t>F46</t>
        </is>
      </c>
      <c r="B115" t="inlineStr">
        <is>
          <t>sbc TTM to 2026-08-01</t>
        </is>
      </c>
      <c r="C115" s="50" t="n">
        <v>235162000</v>
      </c>
    </row>
    <row r="116">
      <c r="A116" t="inlineStr">
        <is>
          <t>F47</t>
        </is>
      </c>
      <c r="B116" t="inlineStr">
        <is>
          <t>sbc quarter 2026-05-03 to 2026-08-01</t>
        </is>
      </c>
      <c r="C116" s="50" t="n">
        <v>87979000</v>
      </c>
      <c r="D116" t="inlineStr">
        <is>
          <t>https://www.sec.gov/Archives/edgar/data/1807794/000162828026060111/</t>
        </is>
      </c>
    </row>
    <row r="117">
      <c r="A117" t="inlineStr">
        <is>
          <t>F48</t>
        </is>
      </c>
      <c r="B117" t="inlineStr">
        <is>
          <t>cfo FY ending 2024-04-27 (us-gaap:NetCashProvidedByUsedInOperatingActivities)</t>
        </is>
      </c>
      <c r="C117" s="50" t="n">
        <v>32737000</v>
      </c>
      <c r="D117" t="inlineStr">
        <is>
          <t>https://www.sec.gov/Archives/edgar/data/1807794/000162828026043303/</t>
        </is>
      </c>
    </row>
    <row r="118">
      <c r="A118" t="inlineStr">
        <is>
          <t>F49</t>
        </is>
      </c>
      <c r="B118" t="inlineStr">
        <is>
          <t>cfo FY ending 2025-05-03 (us-gaap:NetCashProvidedByUsedInOperatingActivities)</t>
        </is>
      </c>
      <c r="C118" s="50" t="n">
        <v>65083000</v>
      </c>
      <c r="D118" t="inlineStr">
        <is>
          <t>https://www.sec.gov/Archives/edgar/data/1807794/000162828026043303/</t>
        </is>
      </c>
    </row>
    <row r="119">
      <c r="A119" t="inlineStr">
        <is>
          <t>F50</t>
        </is>
      </c>
      <c r="B119" t="inlineStr">
        <is>
          <t>cfo FY ending 2026-05-02 (us-gaap:NetCashProvidedByUsedInOperatingActivities)</t>
        </is>
      </c>
      <c r="C119" s="50" t="n">
        <v>464292000</v>
      </c>
      <c r="D119" t="inlineStr">
        <is>
          <t>https://www.sec.gov/Archives/edgar/data/1807794/000162828026043303/</t>
        </is>
      </c>
    </row>
    <row r="120">
      <c r="A120" t="inlineStr">
        <is>
          <t>F51</t>
        </is>
      </c>
      <c r="B120" t="inlineStr">
        <is>
          <t>cfo YTD 2026-05-03 to 2026-08-01</t>
        </is>
      </c>
      <c r="C120" s="50" t="n">
        <v>90231000</v>
      </c>
      <c r="D120" t="inlineStr">
        <is>
          <t>https://www.sec.gov/Archives/edgar/data/1807794/000162828026060111/</t>
        </is>
      </c>
    </row>
    <row r="121">
      <c r="A121" t="inlineStr">
        <is>
          <t>F52</t>
        </is>
      </c>
      <c r="B121" t="inlineStr">
        <is>
          <t>cfo prior-year YTD 2025-05-04 to 2025-08-02</t>
        </is>
      </c>
      <c r="C121" s="50" t="n">
        <v>54168000</v>
      </c>
      <c r="D121" t="inlineStr">
        <is>
          <t>https://www.sec.gov/Archives/edgar/data/1807794/000162828026060111/</t>
        </is>
      </c>
    </row>
    <row r="122">
      <c r="A122" t="inlineStr">
        <is>
          <t>F53</t>
        </is>
      </c>
      <c r="B122" t="inlineStr">
        <is>
          <t>cfo TTM to 2026-08-01</t>
        </is>
      </c>
      <c r="C122" s="50" t="n">
        <v>500355000</v>
      </c>
    </row>
    <row r="123">
      <c r="A123" t="inlineStr">
        <is>
          <t>F54</t>
        </is>
      </c>
      <c r="B123" t="inlineStr">
        <is>
          <t>cfo quarter 2026-05-03 to 2026-08-01</t>
        </is>
      </c>
      <c r="C123" s="50" t="n">
        <v>90231000</v>
      </c>
      <c r="D123" t="inlineStr">
        <is>
          <t>https://www.sec.gov/Archives/edgar/data/1807794/000162828026060111/</t>
        </is>
      </c>
    </row>
    <row r="124">
      <c r="A124" t="inlineStr">
        <is>
          <t>F55</t>
        </is>
      </c>
      <c r="B124" t="inlineStr">
        <is>
          <t>capex FY ending 2024-04-27 (us-gaap:PaymentsToAcquirePropertyPlantAndEquipment)</t>
        </is>
      </c>
      <c r="C124" s="50" t="n">
        <v>15652000</v>
      </c>
      <c r="D124" t="inlineStr">
        <is>
          <t>https://www.sec.gov/Archives/edgar/data/1807794/000162828026043303/</t>
        </is>
      </c>
    </row>
    <row r="125">
      <c r="A125" t="inlineStr">
        <is>
          <t>F56</t>
        </is>
      </c>
      <c r="B125" t="inlineStr">
        <is>
          <t>capex FY ending 2025-05-03 (us-gaap:PaymentsToAcquirePropertyPlantAndEquipment)</t>
        </is>
      </c>
      <c r="C125" s="50" t="n">
        <v>36061000</v>
      </c>
      <c r="D125" t="inlineStr">
        <is>
          <t>https://www.sec.gov/Archives/edgar/data/1807794/000162828026043303/</t>
        </is>
      </c>
    </row>
    <row r="126">
      <c r="A126" t="inlineStr">
        <is>
          <t>F57</t>
        </is>
      </c>
      <c r="B126" t="inlineStr">
        <is>
          <t>capex FY ending 2026-05-02 (us-gaap:PaymentsToAcquirePropertyPlantAndEquipment)</t>
        </is>
      </c>
      <c r="C126" s="50" t="n">
        <v>57296000</v>
      </c>
      <c r="D126" t="inlineStr">
        <is>
          <t>https://www.sec.gov/Archives/edgar/data/1807794/000162828026043303/</t>
        </is>
      </c>
    </row>
    <row r="127">
      <c r="A127" t="inlineStr">
        <is>
          <t>F58</t>
        </is>
      </c>
      <c r="B127" t="inlineStr">
        <is>
          <t>capex YTD 2026-05-03 to 2026-08-01</t>
        </is>
      </c>
      <c r="C127" s="50" t="n">
        <v>7282000</v>
      </c>
      <c r="D127" t="inlineStr">
        <is>
          <t>https://www.sec.gov/Archives/edgar/data/1807794/000162828026060111/</t>
        </is>
      </c>
    </row>
    <row r="128">
      <c r="A128" t="inlineStr">
        <is>
          <t>F59</t>
        </is>
      </c>
      <c r="B128" t="inlineStr">
        <is>
          <t>capex prior-year YTD 2025-05-04 to 2025-08-02</t>
        </is>
      </c>
      <c r="C128" s="50" t="n">
        <v>2821000</v>
      </c>
      <c r="D128" t="inlineStr">
        <is>
          <t>https://www.sec.gov/Archives/edgar/data/1807794/000162828026060111/</t>
        </is>
      </c>
    </row>
    <row r="129">
      <c r="A129" t="inlineStr">
        <is>
          <t>F60</t>
        </is>
      </c>
      <c r="B129" t="inlineStr">
        <is>
          <t>capex TTM to 2026-08-01</t>
        </is>
      </c>
      <c r="C129" s="50" t="n">
        <v>61757000</v>
      </c>
    </row>
    <row r="130">
      <c r="A130" t="inlineStr">
        <is>
          <t>F61</t>
        </is>
      </c>
      <c r="B130" t="inlineStr">
        <is>
          <t>capex quarter 2026-05-03 to 2026-08-01</t>
        </is>
      </c>
      <c r="C130" s="50" t="n">
        <v>7282000</v>
      </c>
      <c r="D130" t="inlineStr">
        <is>
          <t>https://www.sec.gov/Archives/edgar/data/1807794/000162828026060111/</t>
        </is>
      </c>
    </row>
    <row r="131">
      <c r="A131" t="inlineStr">
        <is>
          <t>F62</t>
        </is>
      </c>
      <c r="B131" t="inlineStr">
        <is>
          <t>income_tax FY ending 2024-04-27 (us-gaap:IncomeTaxExpenseBenefit)</t>
        </is>
      </c>
      <c r="C131" s="50" t="n">
        <v>5624000</v>
      </c>
      <c r="D131" t="inlineStr">
        <is>
          <t>https://www.sec.gov/Archives/edgar/data/1807794/000162828026043303/</t>
        </is>
      </c>
    </row>
    <row r="132">
      <c r="A132" t="inlineStr">
        <is>
          <t>F63</t>
        </is>
      </c>
      <c r="B132" t="inlineStr">
        <is>
          <t>income_tax FY ending 2025-05-03 (us-gaap:IncomeTaxExpenseBenefit)</t>
        </is>
      </c>
      <c r="C132" s="50" t="n">
        <v>2687000</v>
      </c>
      <c r="D132" t="inlineStr">
        <is>
          <t>https://www.sec.gov/Archives/edgar/data/1807794/000162828026043303/</t>
        </is>
      </c>
    </row>
    <row r="133">
      <c r="A133" t="inlineStr">
        <is>
          <t>F64</t>
        </is>
      </c>
      <c r="B133" t="inlineStr">
        <is>
          <t>income_tax FY ending 2026-05-02 (us-gaap:IncomeTaxExpenseBenefit)</t>
        </is>
      </c>
      <c r="C133" s="50" t="n">
        <v>3156000</v>
      </c>
      <c r="D133" t="inlineStr">
        <is>
          <t>https://www.sec.gov/Archives/edgar/data/1807794/000162828026043303/</t>
        </is>
      </c>
    </row>
    <row r="134">
      <c r="A134" t="inlineStr">
        <is>
          <t>F65</t>
        </is>
      </c>
      <c r="B134" t="inlineStr">
        <is>
          <t>income_tax YTD 2026-05-03 to 2026-08-01</t>
        </is>
      </c>
      <c r="C134" s="50" t="n">
        <v>-585000</v>
      </c>
      <c r="D134" t="inlineStr">
        <is>
          <t>https://www.sec.gov/Archives/edgar/data/1807794/000162828026060111/</t>
        </is>
      </c>
    </row>
    <row r="135">
      <c r="A135" t="inlineStr">
        <is>
          <t>F66</t>
        </is>
      </c>
      <c r="B135" t="inlineStr">
        <is>
          <t>income_tax prior-year YTD 2025-05-04 to 2025-08-02</t>
        </is>
      </c>
      <c r="C135" s="50" t="n">
        <v>1289000</v>
      </c>
      <c r="D135" t="inlineStr">
        <is>
          <t>https://www.sec.gov/Archives/edgar/data/1807794/000162828026060111/</t>
        </is>
      </c>
    </row>
    <row r="136">
      <c r="A136" t="inlineStr">
        <is>
          <t>F67</t>
        </is>
      </c>
      <c r="B136" t="inlineStr">
        <is>
          <t>income_tax TTM to 2026-08-01</t>
        </is>
      </c>
      <c r="C136" s="50" t="n">
        <v>1282000</v>
      </c>
    </row>
    <row r="137">
      <c r="A137" t="inlineStr">
        <is>
          <t>F68</t>
        </is>
      </c>
      <c r="B137" t="inlineStr">
        <is>
          <t>income_tax quarter 2026-05-03 to 2026-08-01</t>
        </is>
      </c>
      <c r="C137" s="50" t="n">
        <v>-585000</v>
      </c>
      <c r="D137" t="inlineStr">
        <is>
          <t>https://www.sec.gov/Archives/edgar/data/1807794/000162828026060111/</t>
        </is>
      </c>
    </row>
    <row r="138">
      <c r="A138" t="inlineStr">
        <is>
          <t>F69</t>
        </is>
      </c>
      <c r="B138" t="inlineStr">
        <is>
          <t>pretax_income FY ending 2024-04-27 (us-gaap:IncomeLossFromContinuingOperationsBeforeIncomeTaxesExtraordinaryItemsNoncontrollingInterest)</t>
        </is>
      </c>
      <c r="C138" s="50" t="n">
        <v>-22745000</v>
      </c>
      <c r="D138" t="inlineStr">
        <is>
          <t>https://www.sec.gov/Archives/edgar/data/1807794/000162828026043303/</t>
        </is>
      </c>
    </row>
    <row r="139">
      <c r="A139" t="inlineStr">
        <is>
          <t>F70</t>
        </is>
      </c>
      <c r="B139" t="inlineStr">
        <is>
          <t>pretax_income FY ending 2025-05-03 (us-gaap:IncomeLossFromContinuingOperationsBeforeIncomeTaxesExtraordinaryItemsNoncontrollingInterest)</t>
        </is>
      </c>
      <c r="C139" s="50" t="n">
        <v>54870000</v>
      </c>
      <c r="D139" t="inlineStr">
        <is>
          <t>https://www.sec.gov/Archives/edgar/data/1807794/000162828026043303/</t>
        </is>
      </c>
    </row>
    <row r="140">
      <c r="A140" t="inlineStr">
        <is>
          <t>F71</t>
        </is>
      </c>
      <c r="B140" t="inlineStr">
        <is>
          <t>pretax_income FY ending 2026-05-02 (us-gaap:IncomeLossFromContinuingOperationsBeforeIncomeTaxesExtraordinaryItemsNoncontrollingInterest)</t>
        </is>
      </c>
      <c r="C140" s="50" t="n">
        <v>475435000</v>
      </c>
      <c r="D140" t="inlineStr">
        <is>
          <t>https://www.sec.gov/Archives/edgar/data/1807794/000162828026043303/</t>
        </is>
      </c>
    </row>
    <row r="141">
      <c r="A141" t="inlineStr">
        <is>
          <t>F72</t>
        </is>
      </c>
      <c r="B141" t="inlineStr">
        <is>
          <t>pretax_income YTD 2026-05-03 to 2026-08-01</t>
        </is>
      </c>
      <c r="C141" s="50" t="n">
        <v>128840000</v>
      </c>
      <c r="D141" t="inlineStr">
        <is>
          <t>https://www.sec.gov/Archives/edgar/data/1807794/000162828026060111/</t>
        </is>
      </c>
    </row>
    <row r="142">
      <c r="A142" t="inlineStr">
        <is>
          <t>F73</t>
        </is>
      </c>
      <c r="B142" t="inlineStr">
        <is>
          <t>pretax_income prior-year YTD 2025-05-04 to 2025-08-02</t>
        </is>
      </c>
      <c r="C142" s="50" t="n">
        <v>64688000</v>
      </c>
      <c r="D142" t="inlineStr">
        <is>
          <t>https://www.sec.gov/Archives/edgar/data/1807794/000162828026060111/</t>
        </is>
      </c>
    </row>
    <row r="143">
      <c r="A143" t="inlineStr">
        <is>
          <t>F74</t>
        </is>
      </c>
      <c r="B143" t="inlineStr">
        <is>
          <t>pretax_income TTM to 2026-08-01</t>
        </is>
      </c>
      <c r="C143" s="50" t="n">
        <v>539587000</v>
      </c>
    </row>
    <row r="144">
      <c r="A144" t="inlineStr">
        <is>
          <t>F75</t>
        </is>
      </c>
      <c r="B144" t="inlineStr">
        <is>
          <t>pretax_income quarter 2026-05-03 to 2026-08-01</t>
        </is>
      </c>
      <c r="C144" s="50" t="n">
        <v>128840000</v>
      </c>
      <c r="D144" t="inlineStr">
        <is>
          <t>https://www.sec.gov/Archives/edgar/data/1807794/000162828026060111/</t>
        </is>
      </c>
    </row>
    <row r="145">
      <c r="A145" t="inlineStr">
        <is>
          <t>F76</t>
        </is>
      </c>
      <c r="B145" t="inlineStr">
        <is>
          <t>cash at 2026-08-01 (us-gaap:CashAndCashEquivalentsAtCarryingValue)</t>
        </is>
      </c>
      <c r="C145" s="50" t="n">
        <v>466869000</v>
      </c>
      <c r="D145" t="inlineStr">
        <is>
          <t>https://www.sec.gov/Archives/edgar/data/1807794/000162828026060111/</t>
        </is>
      </c>
    </row>
    <row r="146">
      <c r="A146" t="inlineStr">
        <is>
          <t>F77</t>
        </is>
      </c>
      <c r="B146" t="inlineStr">
        <is>
          <t>st_investments at 2026-08-01 (us-gaap:ShortTermInvestments)</t>
        </is>
      </c>
      <c r="C146" s="50" t="n">
        <v>297389000</v>
      </c>
      <c r="D146" t="inlineStr">
        <is>
          <t>https://www.sec.gov/Archives/edgar/data/1807794/000162828026060111/</t>
        </is>
      </c>
    </row>
    <row r="147">
      <c r="A147" t="inlineStr">
        <is>
          <t>F78</t>
        </is>
      </c>
      <c r="B147" t="inlineStr">
        <is>
          <t>equity at 2026-08-01 (us-gaap:StockholdersEquity)</t>
        </is>
      </c>
      <c r="C147" s="50" t="n">
        <v>2728490000</v>
      </c>
      <c r="D147" t="inlineStr">
        <is>
          <t>https://www.sec.gov/Archives/edgar/data/1807794/000162828026060111/</t>
        </is>
      </c>
    </row>
    <row r="148">
      <c r="A148" t="inlineStr">
        <is>
          <t>F79</t>
        </is>
      </c>
      <c r="B148" t="inlineStr">
        <is>
          <t>shares outstanding (cover page, 1 class(es)) as of 2026-08-25</t>
        </is>
      </c>
      <c r="C148" s="50" t="n">
        <v>187951918</v>
      </c>
      <c r="D148" t="inlineStr">
        <is>
          <t>https://www.sec.gov/Archives/edgar/data/1807794/000162828026060111/</t>
        </is>
      </c>
    </row>
    <row r="149">
      <c r="A149" t="inlineStr">
        <is>
          <t>F80</t>
        </is>
      </c>
      <c r="B149" t="inlineStr">
        <is>
          <t>total debt: not in standard XBRL tags at 2026-08-01 (company-specific tags); read the balance sheet and debt note</t>
        </is>
      </c>
    </row>
    <row r="150">
      <c r="A150" t="inlineStr">
        <is>
          <t>F81</t>
        </is>
      </c>
      <c r="B150" t="inlineStr">
        <is>
          <t>EBITDA TTM (GAAP operating income + D&amp;A; not the company's adjusted EBITDA)</t>
        </is>
      </c>
      <c r="C150" s="50" t="n">
        <v>542746000</v>
      </c>
    </row>
    <row r="151">
      <c r="A151" t="inlineStr">
        <is>
          <t>F82</t>
        </is>
      </c>
      <c r="B151" t="inlineStr">
        <is>
          <t>free cash flow TTM = operating cash flow - capex (before SBC adjustment)</t>
        </is>
      </c>
      <c r="C151" s="50" t="n">
        <v>438598000</v>
      </c>
    </row>
    <row r="152">
      <c r="A152" t="inlineStr">
        <is>
          <t>F83</t>
        </is>
      </c>
      <c r="B152" t="inlineStr">
        <is>
          <t>diluted EPS TTM approx = net income TTM / latest quarter diluted shares</t>
        </is>
      </c>
      <c r="C152" s="50" t="n">
        <v>2.769372048277068</v>
      </c>
    </row>
  </sheetData>
  <hyperlinks>
    <hyperlink xmlns:r="http://schemas.openxmlformats.org/officeDocument/2006/relationships" ref="D34" r:id="rId1"/>
    <hyperlink xmlns:r="http://schemas.openxmlformats.org/officeDocument/2006/relationships" ref="D35" r:id="rId2"/>
    <hyperlink xmlns:r="http://schemas.openxmlformats.org/officeDocument/2006/relationships" ref="D36" r:id="rId3"/>
    <hyperlink xmlns:r="http://schemas.openxmlformats.org/officeDocument/2006/relationships" ref="D37" r:id="rId4"/>
    <hyperlink xmlns:r="http://schemas.openxmlformats.org/officeDocument/2006/relationships" ref="D38" r:id="rId5"/>
    <hyperlink xmlns:r="http://schemas.openxmlformats.org/officeDocument/2006/relationships" ref="D39" r:id="rId6"/>
    <hyperlink xmlns:r="http://schemas.openxmlformats.org/officeDocument/2006/relationships" ref="D40" r:id="rId7"/>
    <hyperlink xmlns:r="http://schemas.openxmlformats.org/officeDocument/2006/relationships" ref="D41" r:id="rId8"/>
    <hyperlink xmlns:r="http://schemas.openxmlformats.org/officeDocument/2006/relationships" ref="D42" r:id="rId9"/>
    <hyperlink xmlns:r="http://schemas.openxmlformats.org/officeDocument/2006/relationships" ref="D43" r:id="rId10"/>
    <hyperlink xmlns:r="http://schemas.openxmlformats.org/officeDocument/2006/relationships" ref="D44" r:id="rId11"/>
    <hyperlink xmlns:r="http://schemas.openxmlformats.org/officeDocument/2006/relationships" ref="D45" r:id="rId12"/>
    <hyperlink xmlns:r="http://schemas.openxmlformats.org/officeDocument/2006/relationships" ref="D46" r:id="rId13"/>
    <hyperlink xmlns:r="http://schemas.openxmlformats.org/officeDocument/2006/relationships" ref="D47" r:id="rId14"/>
    <hyperlink xmlns:r="http://schemas.openxmlformats.org/officeDocument/2006/relationships" ref="D48" r:id="rId15"/>
    <hyperlink xmlns:r="http://schemas.openxmlformats.org/officeDocument/2006/relationships" ref="D49" r:id="rId16"/>
    <hyperlink xmlns:r="http://schemas.openxmlformats.org/officeDocument/2006/relationships" ref="D50" r:id="rId17"/>
    <hyperlink xmlns:r="http://schemas.openxmlformats.org/officeDocument/2006/relationships" ref="D51" r:id="rId18"/>
    <hyperlink xmlns:r="http://schemas.openxmlformats.org/officeDocument/2006/relationships" ref="D52" r:id="rId19"/>
    <hyperlink xmlns:r="http://schemas.openxmlformats.org/officeDocument/2006/relationships" ref="D53" r:id="rId20"/>
    <hyperlink xmlns:r="http://schemas.openxmlformats.org/officeDocument/2006/relationships" ref="D54" r:id="rId21"/>
    <hyperlink xmlns:r="http://schemas.openxmlformats.org/officeDocument/2006/relationships" ref="D55" r:id="rId22"/>
    <hyperlink xmlns:r="http://schemas.openxmlformats.org/officeDocument/2006/relationships" ref="D56" r:id="rId23"/>
    <hyperlink xmlns:r="http://schemas.openxmlformats.org/officeDocument/2006/relationships" ref="D57" r:id="rId24"/>
    <hyperlink xmlns:r="http://schemas.openxmlformats.org/officeDocument/2006/relationships" ref="D58" r:id="rId25"/>
    <hyperlink xmlns:r="http://schemas.openxmlformats.org/officeDocument/2006/relationships" ref="D59" r:id="rId26"/>
    <hyperlink xmlns:r="http://schemas.openxmlformats.org/officeDocument/2006/relationships" ref="D60" r:id="rId27"/>
    <hyperlink xmlns:r="http://schemas.openxmlformats.org/officeDocument/2006/relationships" ref="D61" r:id="rId28"/>
    <hyperlink xmlns:r="http://schemas.openxmlformats.org/officeDocument/2006/relationships" ref="D62" r:id="rId29"/>
    <hyperlink xmlns:r="http://schemas.openxmlformats.org/officeDocument/2006/relationships" ref="D63" r:id="rId30"/>
    <hyperlink xmlns:r="http://schemas.openxmlformats.org/officeDocument/2006/relationships" ref="D64" r:id="rId31"/>
    <hyperlink xmlns:r="http://schemas.openxmlformats.org/officeDocument/2006/relationships" ref="D65" r:id="rId32"/>
    <hyperlink xmlns:r="http://schemas.openxmlformats.org/officeDocument/2006/relationships" ref="D66" r:id="rId33"/>
    <hyperlink xmlns:r="http://schemas.openxmlformats.org/officeDocument/2006/relationships" ref="D67" r:id="rId34"/>
    <hyperlink xmlns:r="http://schemas.openxmlformats.org/officeDocument/2006/relationships" ref="D70" r:id="rId35"/>
    <hyperlink xmlns:r="http://schemas.openxmlformats.org/officeDocument/2006/relationships" ref="D71" r:id="rId36"/>
    <hyperlink xmlns:r="http://schemas.openxmlformats.org/officeDocument/2006/relationships" ref="D72" r:id="rId37"/>
    <hyperlink xmlns:r="http://schemas.openxmlformats.org/officeDocument/2006/relationships" ref="D73" r:id="rId38"/>
    <hyperlink xmlns:r="http://schemas.openxmlformats.org/officeDocument/2006/relationships" ref="D74" r:id="rId39"/>
    <hyperlink xmlns:r="http://schemas.openxmlformats.org/officeDocument/2006/relationships" ref="D76" r:id="rId40"/>
    <hyperlink xmlns:r="http://schemas.openxmlformats.org/officeDocument/2006/relationships" ref="D77" r:id="rId41"/>
    <hyperlink xmlns:r="http://schemas.openxmlformats.org/officeDocument/2006/relationships" ref="D78" r:id="rId42"/>
    <hyperlink xmlns:r="http://schemas.openxmlformats.org/officeDocument/2006/relationships" ref="D79" r:id="rId43"/>
    <hyperlink xmlns:r="http://schemas.openxmlformats.org/officeDocument/2006/relationships" ref="D80" r:id="rId44"/>
    <hyperlink xmlns:r="http://schemas.openxmlformats.org/officeDocument/2006/relationships" ref="D81" r:id="rId45"/>
    <hyperlink xmlns:r="http://schemas.openxmlformats.org/officeDocument/2006/relationships" ref="D83" r:id="rId46"/>
    <hyperlink xmlns:r="http://schemas.openxmlformats.org/officeDocument/2006/relationships" ref="D84" r:id="rId47"/>
    <hyperlink xmlns:r="http://schemas.openxmlformats.org/officeDocument/2006/relationships" ref="D85" r:id="rId48"/>
    <hyperlink xmlns:r="http://schemas.openxmlformats.org/officeDocument/2006/relationships" ref="D86" r:id="rId49"/>
    <hyperlink xmlns:r="http://schemas.openxmlformats.org/officeDocument/2006/relationships" ref="D87" r:id="rId50"/>
    <hyperlink xmlns:r="http://schemas.openxmlformats.org/officeDocument/2006/relationships" ref="D88" r:id="rId51"/>
    <hyperlink xmlns:r="http://schemas.openxmlformats.org/officeDocument/2006/relationships" ref="D90" r:id="rId52"/>
    <hyperlink xmlns:r="http://schemas.openxmlformats.org/officeDocument/2006/relationships" ref="D91" r:id="rId53"/>
    <hyperlink xmlns:r="http://schemas.openxmlformats.org/officeDocument/2006/relationships" ref="D92" r:id="rId54"/>
    <hyperlink xmlns:r="http://schemas.openxmlformats.org/officeDocument/2006/relationships" ref="D93" r:id="rId55"/>
    <hyperlink xmlns:r="http://schemas.openxmlformats.org/officeDocument/2006/relationships" ref="D94" r:id="rId56"/>
    <hyperlink xmlns:r="http://schemas.openxmlformats.org/officeDocument/2006/relationships" ref="D95" r:id="rId57"/>
    <hyperlink xmlns:r="http://schemas.openxmlformats.org/officeDocument/2006/relationships" ref="D96" r:id="rId58"/>
    <hyperlink xmlns:r="http://schemas.openxmlformats.org/officeDocument/2006/relationships" ref="D97" r:id="rId59"/>
    <hyperlink xmlns:r="http://schemas.openxmlformats.org/officeDocument/2006/relationships" ref="D98" r:id="rId60"/>
    <hyperlink xmlns:r="http://schemas.openxmlformats.org/officeDocument/2006/relationships" ref="D99" r:id="rId61"/>
    <hyperlink xmlns:r="http://schemas.openxmlformats.org/officeDocument/2006/relationships" ref="D100" r:id="rId62"/>
    <hyperlink xmlns:r="http://schemas.openxmlformats.org/officeDocument/2006/relationships" ref="D101" r:id="rId63"/>
    <hyperlink xmlns:r="http://schemas.openxmlformats.org/officeDocument/2006/relationships" ref="D102" r:id="rId64"/>
    <hyperlink xmlns:r="http://schemas.openxmlformats.org/officeDocument/2006/relationships" ref="D103" r:id="rId65"/>
    <hyperlink xmlns:r="http://schemas.openxmlformats.org/officeDocument/2006/relationships" ref="D104" r:id="rId66"/>
    <hyperlink xmlns:r="http://schemas.openxmlformats.org/officeDocument/2006/relationships" ref="D105" r:id="rId67"/>
    <hyperlink xmlns:r="http://schemas.openxmlformats.org/officeDocument/2006/relationships" ref="D106" r:id="rId68"/>
    <hyperlink xmlns:r="http://schemas.openxmlformats.org/officeDocument/2006/relationships" ref="D107" r:id="rId69"/>
    <hyperlink xmlns:r="http://schemas.openxmlformats.org/officeDocument/2006/relationships" ref="D109" r:id="rId70"/>
    <hyperlink xmlns:r="http://schemas.openxmlformats.org/officeDocument/2006/relationships" ref="D110" r:id="rId71"/>
    <hyperlink xmlns:r="http://schemas.openxmlformats.org/officeDocument/2006/relationships" ref="D111" r:id="rId72"/>
    <hyperlink xmlns:r="http://schemas.openxmlformats.org/officeDocument/2006/relationships" ref="D112" r:id="rId73"/>
    <hyperlink xmlns:r="http://schemas.openxmlformats.org/officeDocument/2006/relationships" ref="D113" r:id="rId74"/>
    <hyperlink xmlns:r="http://schemas.openxmlformats.org/officeDocument/2006/relationships" ref="D114" r:id="rId75"/>
    <hyperlink xmlns:r="http://schemas.openxmlformats.org/officeDocument/2006/relationships" ref="D116" r:id="rId76"/>
    <hyperlink xmlns:r="http://schemas.openxmlformats.org/officeDocument/2006/relationships" ref="D117" r:id="rId77"/>
    <hyperlink xmlns:r="http://schemas.openxmlformats.org/officeDocument/2006/relationships" ref="D118" r:id="rId78"/>
    <hyperlink xmlns:r="http://schemas.openxmlformats.org/officeDocument/2006/relationships" ref="D119" r:id="rId79"/>
    <hyperlink xmlns:r="http://schemas.openxmlformats.org/officeDocument/2006/relationships" ref="D120" r:id="rId80"/>
    <hyperlink xmlns:r="http://schemas.openxmlformats.org/officeDocument/2006/relationships" ref="D121" r:id="rId81"/>
    <hyperlink xmlns:r="http://schemas.openxmlformats.org/officeDocument/2006/relationships" ref="D123" r:id="rId82"/>
    <hyperlink xmlns:r="http://schemas.openxmlformats.org/officeDocument/2006/relationships" ref="D124" r:id="rId83"/>
    <hyperlink xmlns:r="http://schemas.openxmlformats.org/officeDocument/2006/relationships" ref="D125" r:id="rId84"/>
    <hyperlink xmlns:r="http://schemas.openxmlformats.org/officeDocument/2006/relationships" ref="D126" r:id="rId85"/>
    <hyperlink xmlns:r="http://schemas.openxmlformats.org/officeDocument/2006/relationships" ref="D127" r:id="rId86"/>
    <hyperlink xmlns:r="http://schemas.openxmlformats.org/officeDocument/2006/relationships" ref="D128" r:id="rId87"/>
    <hyperlink xmlns:r="http://schemas.openxmlformats.org/officeDocument/2006/relationships" ref="D130" r:id="rId88"/>
    <hyperlink xmlns:r="http://schemas.openxmlformats.org/officeDocument/2006/relationships" ref="D131" r:id="rId89"/>
    <hyperlink xmlns:r="http://schemas.openxmlformats.org/officeDocument/2006/relationships" ref="D132" r:id="rId90"/>
    <hyperlink xmlns:r="http://schemas.openxmlformats.org/officeDocument/2006/relationships" ref="D133" r:id="rId91"/>
    <hyperlink xmlns:r="http://schemas.openxmlformats.org/officeDocument/2006/relationships" ref="D134" r:id="rId92"/>
    <hyperlink xmlns:r="http://schemas.openxmlformats.org/officeDocument/2006/relationships" ref="D135" r:id="rId93"/>
    <hyperlink xmlns:r="http://schemas.openxmlformats.org/officeDocument/2006/relationships" ref="D137" r:id="rId94"/>
    <hyperlink xmlns:r="http://schemas.openxmlformats.org/officeDocument/2006/relationships" ref="D138" r:id="rId95"/>
    <hyperlink xmlns:r="http://schemas.openxmlformats.org/officeDocument/2006/relationships" ref="D139" r:id="rId96"/>
    <hyperlink xmlns:r="http://schemas.openxmlformats.org/officeDocument/2006/relationships" ref="D140" r:id="rId97"/>
    <hyperlink xmlns:r="http://schemas.openxmlformats.org/officeDocument/2006/relationships" ref="D141" r:id="rId98"/>
    <hyperlink xmlns:r="http://schemas.openxmlformats.org/officeDocument/2006/relationships" ref="D142" r:id="rId99"/>
    <hyperlink xmlns:r="http://schemas.openxmlformats.org/officeDocument/2006/relationships" ref="D144" r:id="rId100"/>
    <hyperlink xmlns:r="http://schemas.openxmlformats.org/officeDocument/2006/relationships" ref="D145" r:id="rId101"/>
    <hyperlink xmlns:r="http://schemas.openxmlformats.org/officeDocument/2006/relationships" ref="D146" r:id="rId102"/>
    <hyperlink xmlns:r="http://schemas.openxmlformats.org/officeDocument/2006/relationships" ref="D147" r:id="rId103"/>
    <hyperlink xmlns:r="http://schemas.openxmlformats.org/officeDocument/2006/relationships" ref="D148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2026-10-27T17:35:53Z</dcterms:created>
  <dcterms:modified xmlns:dcterms="http://purl.org/dc/terms/" xmlns:xsi="http://www.w3.org/2001/XMLSchema-instance" xsi:type="dcterms:W3CDTF">2026-10-27T17:35:53Z</dcterms:modified>
</cp:coreProperties>
</file>