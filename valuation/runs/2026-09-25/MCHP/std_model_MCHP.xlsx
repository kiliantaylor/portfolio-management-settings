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fair value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&quot; bp&quot;;-0&quot; bp&quot;"/>
    <numFmt numFmtId="172" formatCode="0.000"/>
    <numFmt numFmtId="173" formatCode="0.0000"/>
    <numFmt numFmtId="174" formatCode="0.0&quot;x&quot;"/>
    <numFmt numFmtId="175" formatCode="+0.0%;-0.0%;0.0%"/>
    <numFmt numFmtId="176" formatCode="yyyy-mm-dd hh:mm"/>
  </numFmts>
  <fonts count="8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b val="1"/>
      <sz val="13"/>
    </font>
    <font>
      <i val="1"/>
      <color rgb="00666666"/>
    </font>
    <font>
      <color rgb="007030A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2" fontId="7" fillId="0" borderId="0" pivotButton="0" quotePrefix="0" xfId="0"/>
    <xf numFmtId="176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7" fillId="0" borderId="0" pivotButton="0" quotePrefix="0" xfId="0"/>
    <xf numFmtId="2" fontId="0" fillId="0" borderId="0" pivotButton="0" quotePrefix="0" xfId="0"/>
    <xf numFmtId="165" fontId="7" fillId="0" borderId="0" pivotButton="0" quotePrefix="0" xfId="0"/>
    <xf numFmtId="0" fontId="3" fillId="0" borderId="0" pivotButton="0" quotePrefix="0" xfId="0"/>
    <xf numFmtId="166" fontId="7" fillId="0" borderId="0" pivotButton="0" quotePrefix="0" xfId="0"/>
    <xf numFmtId="169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166" fontId="6" fillId="0" borderId="0" pivotButton="0" quotePrefix="0" xfId="0"/>
    <xf numFmtId="171" fontId="3" fillId="0" borderId="0" pivotButton="0" quotePrefix="0" xfId="0"/>
    <xf numFmtId="165" fontId="6" fillId="0" borderId="0" pivotButton="0" quotePrefix="0" xfId="0"/>
    <xf numFmtId="4" fontId="7" fillId="0" borderId="0" pivotButton="0" quotePrefix="0" xfId="0"/>
    <xf numFmtId="168" fontId="7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4" fontId="1" fillId="0" borderId="0" pivotButton="0" quotePrefix="0" xfId="0"/>
    <xf numFmtId="175" fontId="1" fillId="0" borderId="0" pivotButton="0" quotePrefix="0" xfId="0"/>
    <xf numFmtId="173" fontId="0" fillId="0" borderId="0" pivotButton="0" quotePrefix="0" xfId="0"/>
    <xf numFmtId="170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markets.financialcontent.com/stocks/article/stockstory-2026-9-25-microchip-technology-mchp-stock-is-up-what-you-need-to-know" TargetMode="External" Id="rId1"/><Relationship Type="http://schemas.openxmlformats.org/officeDocument/2006/relationships/hyperlink" Target="https://stockanalysis.com/stocks/mchp/" TargetMode="External" Id="rId2"/><Relationship Type="http://schemas.openxmlformats.org/officeDocument/2006/relationships/hyperlink" Target="https://www.sec.gov/Archives/edgar/data/827054/000082705426000037/exhibit991q1fy27.htm" TargetMode="External" Id="rId3"/><Relationship Type="http://schemas.openxmlformats.org/officeDocument/2006/relationships/hyperlink" Target="https://uk.investing.com/news/stock-market-news/microchip-at-citi-2026-global-tmt-conference-recovery-broadens-93CH-4863475" TargetMode="External" Id="rId4"/><Relationship Type="http://schemas.openxmlformats.org/officeDocument/2006/relationships/hyperlink" Target="https://ir.microchip.com/financial-info/financial-results" TargetMode="External" Id="rId5"/><Relationship Type="http://schemas.openxmlformats.org/officeDocument/2006/relationships/hyperlink" Target="https://stockanalysis.com/stocks/mchp/forecast/" TargetMode="External" Id="rId6"/><Relationship Type="http://schemas.openxmlformats.org/officeDocument/2006/relationships/hyperlink" Target="https://stockanalysis.com/stocks/mchp/history/" TargetMode="External" Id="rId7"/><Relationship Type="http://schemas.openxmlformats.org/officeDocument/2006/relationships/hyperlink" Target="https://www.sec.gov/Archives/edgar/data/827054/000082705426000038/mchp-20260630.htm" TargetMode="External" Id="rId8"/><Relationship Type="http://schemas.openxmlformats.org/officeDocument/2006/relationships/hyperlink" Target="https://www.investing.com/news/transcripts/microchip-at-citi-2026-global-tmt-conference-recovery-broadens-93CH-4894731" TargetMode="External" Id="rId9"/><Relationship Type="http://schemas.openxmlformats.org/officeDocument/2006/relationships/hyperlink" Target="https://www.fool.com/earnings/call-transcripts/2026/08/13/microchip-mchp-q1-2027-earnings-call-transcript/" TargetMode="External" Id="rId10"/><Relationship Type="http://schemas.openxmlformats.org/officeDocument/2006/relationships/hyperlink" Target="https://home.treasury.gov/resource-center/data-chart-center/interest-rates/TextView?type=daily_treasury_yield_curve&amp;field_tdr_date_value_month=202609" TargetMode="External" Id="rId11"/><Relationship Type="http://schemas.openxmlformats.org/officeDocument/2006/relationships/hyperlink" Target="https://www.sec.gov/Archives/edgar/data/1413447/000141344726000045/nxpi-20260628.htm" TargetMode="External" Id="rId12"/><Relationship Type="http://schemas.openxmlformats.org/officeDocument/2006/relationships/hyperlink" Target="https://ir.microchip.com/news-events/press-releases/detail/1419/microchip-technology-acquires-vorago-technologies" TargetMode="External" Id="rId13"/><Relationship Type="http://schemas.openxmlformats.org/officeDocument/2006/relationships/hyperlink" Target="https://www.sec.gov/Archives/edgar/data/827054/000082705426000016/" TargetMode="External" Id="rId14"/><Relationship Type="http://schemas.openxmlformats.org/officeDocument/2006/relationships/hyperlink" Target="https://www.sec.gov/Archives/edgar/data/827054/000082705426000016/" TargetMode="External" Id="rId15"/><Relationship Type="http://schemas.openxmlformats.org/officeDocument/2006/relationships/hyperlink" Target="https://www.sec.gov/Archives/edgar/data/827054/000082705426000016/" TargetMode="External" Id="rId16"/><Relationship Type="http://schemas.openxmlformats.org/officeDocument/2006/relationships/hyperlink" Target="https://www.sec.gov/Archives/edgar/data/827054/000082705426000038/" TargetMode="External" Id="rId17"/><Relationship Type="http://schemas.openxmlformats.org/officeDocument/2006/relationships/hyperlink" Target="https://www.sec.gov/Archives/edgar/data/827054/000082705426000038/" TargetMode="External" Id="rId18"/><Relationship Type="http://schemas.openxmlformats.org/officeDocument/2006/relationships/hyperlink" Target="https://www.sec.gov/Archives/edgar/data/827054/000082705426000038/" TargetMode="External" Id="rId19"/><Relationship Type="http://schemas.openxmlformats.org/officeDocument/2006/relationships/hyperlink" Target="https://www.sec.gov/Archives/edgar/data/827054/000082705426000016/" TargetMode="External" Id="rId20"/><Relationship Type="http://schemas.openxmlformats.org/officeDocument/2006/relationships/hyperlink" Target="https://www.sec.gov/Archives/edgar/data/827054/000082705426000016/" TargetMode="External" Id="rId21"/><Relationship Type="http://schemas.openxmlformats.org/officeDocument/2006/relationships/hyperlink" Target="https://www.sec.gov/Archives/edgar/data/827054/000082705426000016/" TargetMode="External" Id="rId22"/><Relationship Type="http://schemas.openxmlformats.org/officeDocument/2006/relationships/hyperlink" Target="https://www.sec.gov/Archives/edgar/data/827054/000082705426000038/" TargetMode="External" Id="rId23"/><Relationship Type="http://schemas.openxmlformats.org/officeDocument/2006/relationships/hyperlink" Target="https://www.sec.gov/Archives/edgar/data/827054/000082705426000038/" TargetMode="External" Id="rId24"/><Relationship Type="http://schemas.openxmlformats.org/officeDocument/2006/relationships/hyperlink" Target="https://www.sec.gov/Archives/edgar/data/827054/000082705426000038/" TargetMode="External" Id="rId25"/><Relationship Type="http://schemas.openxmlformats.org/officeDocument/2006/relationships/hyperlink" Target="https://www.sec.gov/Archives/edgar/data/827054/000082705426000016/" TargetMode="External" Id="rId26"/><Relationship Type="http://schemas.openxmlformats.org/officeDocument/2006/relationships/hyperlink" Target="https://www.sec.gov/Archives/edgar/data/827054/000082705426000016/" TargetMode="External" Id="rId27"/><Relationship Type="http://schemas.openxmlformats.org/officeDocument/2006/relationships/hyperlink" Target="https://www.sec.gov/Archives/edgar/data/827054/000082705426000016/" TargetMode="External" Id="rId28"/><Relationship Type="http://schemas.openxmlformats.org/officeDocument/2006/relationships/hyperlink" Target="https://www.sec.gov/Archives/edgar/data/827054/000082705426000038/" TargetMode="External" Id="rId29"/><Relationship Type="http://schemas.openxmlformats.org/officeDocument/2006/relationships/hyperlink" Target="https://www.sec.gov/Archives/edgar/data/827054/000082705426000038/" TargetMode="External" Id="rId30"/><Relationship Type="http://schemas.openxmlformats.org/officeDocument/2006/relationships/hyperlink" Target="https://www.sec.gov/Archives/edgar/data/827054/000082705426000038/" TargetMode="External" Id="rId31"/><Relationship Type="http://schemas.openxmlformats.org/officeDocument/2006/relationships/hyperlink" Target="https://www.sec.gov/Archives/edgar/data/827054/000082705426000016/" TargetMode="External" Id="rId32"/><Relationship Type="http://schemas.openxmlformats.org/officeDocument/2006/relationships/hyperlink" Target="https://www.sec.gov/Archives/edgar/data/827054/000082705426000016/" TargetMode="External" Id="rId33"/><Relationship Type="http://schemas.openxmlformats.org/officeDocument/2006/relationships/hyperlink" Target="https://www.sec.gov/Archives/edgar/data/827054/000082705426000016/" TargetMode="External" Id="rId34"/><Relationship Type="http://schemas.openxmlformats.org/officeDocument/2006/relationships/hyperlink" Target="https://www.sec.gov/Archives/edgar/data/827054/000082705426000038/" TargetMode="External" Id="rId35"/><Relationship Type="http://schemas.openxmlformats.org/officeDocument/2006/relationships/hyperlink" Target="https://www.sec.gov/Archives/edgar/data/827054/000082705426000038/" TargetMode="External" Id="rId36"/><Relationship Type="http://schemas.openxmlformats.org/officeDocument/2006/relationships/hyperlink" Target="https://www.sec.gov/Archives/edgar/data/827054/000082705426000038/" TargetMode="External" Id="rId37"/><Relationship Type="http://schemas.openxmlformats.org/officeDocument/2006/relationships/hyperlink" Target="https://www.sec.gov/Archives/edgar/data/827054/000082705426000016/" TargetMode="External" Id="rId38"/><Relationship Type="http://schemas.openxmlformats.org/officeDocument/2006/relationships/hyperlink" Target="https://www.sec.gov/Archives/edgar/data/827054/000082705426000016/" TargetMode="External" Id="rId39"/><Relationship Type="http://schemas.openxmlformats.org/officeDocument/2006/relationships/hyperlink" Target="https://www.sec.gov/Archives/edgar/data/827054/000082705426000016/" TargetMode="External" Id="rId40"/><Relationship Type="http://schemas.openxmlformats.org/officeDocument/2006/relationships/hyperlink" Target="https://www.sec.gov/Archives/edgar/data/827054/000082705426000038/" TargetMode="External" Id="rId41"/><Relationship Type="http://schemas.openxmlformats.org/officeDocument/2006/relationships/hyperlink" Target="https://www.sec.gov/Archives/edgar/data/827054/000082705426000038/" TargetMode="External" Id="rId42"/><Relationship Type="http://schemas.openxmlformats.org/officeDocument/2006/relationships/hyperlink" Target="https://www.sec.gov/Archives/edgar/data/827054/000082705426000038/" TargetMode="External" Id="rId43"/><Relationship Type="http://schemas.openxmlformats.org/officeDocument/2006/relationships/hyperlink" Target="https://www.sec.gov/Archives/edgar/data/827054/000082705426000016/" TargetMode="External" Id="rId44"/><Relationship Type="http://schemas.openxmlformats.org/officeDocument/2006/relationships/hyperlink" Target="https://www.sec.gov/Archives/edgar/data/827054/000082705426000016/" TargetMode="External" Id="rId45"/><Relationship Type="http://schemas.openxmlformats.org/officeDocument/2006/relationships/hyperlink" Target="https://www.sec.gov/Archives/edgar/data/827054/000082705426000016/" TargetMode="External" Id="rId46"/><Relationship Type="http://schemas.openxmlformats.org/officeDocument/2006/relationships/hyperlink" Target="https://www.sec.gov/Archives/edgar/data/827054/000082705426000038/" TargetMode="External" Id="rId47"/><Relationship Type="http://schemas.openxmlformats.org/officeDocument/2006/relationships/hyperlink" Target="https://www.sec.gov/Archives/edgar/data/827054/000082705426000038/" TargetMode="External" Id="rId48"/><Relationship Type="http://schemas.openxmlformats.org/officeDocument/2006/relationships/hyperlink" Target="https://www.sec.gov/Archives/edgar/data/827054/000082705426000038/" TargetMode="External" Id="rId49"/><Relationship Type="http://schemas.openxmlformats.org/officeDocument/2006/relationships/hyperlink" Target="https://www.sec.gov/Archives/edgar/data/827054/000082705426000016/" TargetMode="External" Id="rId50"/><Relationship Type="http://schemas.openxmlformats.org/officeDocument/2006/relationships/hyperlink" Target="https://www.sec.gov/Archives/edgar/data/827054/000082705426000016/" TargetMode="External" Id="rId51"/><Relationship Type="http://schemas.openxmlformats.org/officeDocument/2006/relationships/hyperlink" Target="https://www.sec.gov/Archives/edgar/data/827054/000082705426000016/" TargetMode="External" Id="rId52"/><Relationship Type="http://schemas.openxmlformats.org/officeDocument/2006/relationships/hyperlink" Target="https://www.sec.gov/Archives/edgar/data/827054/000082705426000038/" TargetMode="External" Id="rId53"/><Relationship Type="http://schemas.openxmlformats.org/officeDocument/2006/relationships/hyperlink" Target="https://www.sec.gov/Archives/edgar/data/827054/000082705426000038/" TargetMode="External" Id="rId54"/><Relationship Type="http://schemas.openxmlformats.org/officeDocument/2006/relationships/hyperlink" Target="https://www.sec.gov/Archives/edgar/data/827054/000082705426000038/" TargetMode="External" Id="rId55"/><Relationship Type="http://schemas.openxmlformats.org/officeDocument/2006/relationships/hyperlink" Target="https://www.sec.gov/Archives/edgar/data/827054/000082705426000016/" TargetMode="External" Id="rId56"/><Relationship Type="http://schemas.openxmlformats.org/officeDocument/2006/relationships/hyperlink" Target="https://www.sec.gov/Archives/edgar/data/827054/000082705426000016/" TargetMode="External" Id="rId57"/><Relationship Type="http://schemas.openxmlformats.org/officeDocument/2006/relationships/hyperlink" Target="https://www.sec.gov/Archives/edgar/data/827054/000082705426000016/" TargetMode="External" Id="rId58"/><Relationship Type="http://schemas.openxmlformats.org/officeDocument/2006/relationships/hyperlink" Target="https://www.sec.gov/Archives/edgar/data/827054/000082705426000038/" TargetMode="External" Id="rId59"/><Relationship Type="http://schemas.openxmlformats.org/officeDocument/2006/relationships/hyperlink" Target="https://www.sec.gov/Archives/edgar/data/827054/000082705426000038/" TargetMode="External" Id="rId60"/><Relationship Type="http://schemas.openxmlformats.org/officeDocument/2006/relationships/hyperlink" Target="https://www.sec.gov/Archives/edgar/data/827054/000082705426000038/" TargetMode="External" Id="rId61"/><Relationship Type="http://schemas.openxmlformats.org/officeDocument/2006/relationships/hyperlink" Target="https://www.sec.gov/Archives/edgar/data/827054/000082705426000016/" TargetMode="External" Id="rId62"/><Relationship Type="http://schemas.openxmlformats.org/officeDocument/2006/relationships/hyperlink" Target="https://www.sec.gov/Archives/edgar/data/827054/000082705426000016/" TargetMode="External" Id="rId63"/><Relationship Type="http://schemas.openxmlformats.org/officeDocument/2006/relationships/hyperlink" Target="https://www.sec.gov/Archives/edgar/data/827054/000082705426000016/" TargetMode="External" Id="rId64"/><Relationship Type="http://schemas.openxmlformats.org/officeDocument/2006/relationships/hyperlink" Target="https://www.sec.gov/Archives/edgar/data/827054/000082705426000038/" TargetMode="External" Id="rId65"/><Relationship Type="http://schemas.openxmlformats.org/officeDocument/2006/relationships/hyperlink" Target="https://www.sec.gov/Archives/edgar/data/827054/000082705426000038/" TargetMode="External" Id="rId66"/><Relationship Type="http://schemas.openxmlformats.org/officeDocument/2006/relationships/hyperlink" Target="https://www.sec.gov/Archives/edgar/data/827054/000082705426000038/" TargetMode="External" Id="rId67"/><Relationship Type="http://schemas.openxmlformats.org/officeDocument/2006/relationships/hyperlink" Target="https://www.sec.gov/Archives/edgar/data/827054/000082705426000016/" TargetMode="External" Id="rId68"/><Relationship Type="http://schemas.openxmlformats.org/officeDocument/2006/relationships/hyperlink" Target="https://www.sec.gov/Archives/edgar/data/827054/000082705426000016/" TargetMode="External" Id="rId69"/><Relationship Type="http://schemas.openxmlformats.org/officeDocument/2006/relationships/hyperlink" Target="https://www.sec.gov/Archives/edgar/data/827054/000082705426000016/" TargetMode="External" Id="rId70"/><Relationship Type="http://schemas.openxmlformats.org/officeDocument/2006/relationships/hyperlink" Target="https://www.sec.gov/Archives/edgar/data/827054/000082705426000016/" TargetMode="External" Id="rId71"/><Relationship Type="http://schemas.openxmlformats.org/officeDocument/2006/relationships/hyperlink" Target="https://www.sec.gov/Archives/edgar/data/827054/000082705426000016/" TargetMode="External" Id="rId72"/><Relationship Type="http://schemas.openxmlformats.org/officeDocument/2006/relationships/hyperlink" Target="https://www.sec.gov/Archives/edgar/data/827054/000082705426000016/" TargetMode="External" Id="rId73"/><Relationship Type="http://schemas.openxmlformats.org/officeDocument/2006/relationships/hyperlink" Target="https://www.sec.gov/Archives/edgar/data/827054/000082705426000038/" TargetMode="External" Id="rId74"/><Relationship Type="http://schemas.openxmlformats.org/officeDocument/2006/relationships/hyperlink" Target="https://www.sec.gov/Archives/edgar/data/827054/000082705426000038/" TargetMode="External" Id="rId75"/><Relationship Type="http://schemas.openxmlformats.org/officeDocument/2006/relationships/hyperlink" Target="https://www.sec.gov/Archives/edgar/data/827054/000082705426000038/" TargetMode="External" Id="rId76"/><Relationship Type="http://schemas.openxmlformats.org/officeDocument/2006/relationships/hyperlink" Target="https://www.sec.gov/Archives/edgar/data/827054/000082705426000016/" TargetMode="External" Id="rId77"/><Relationship Type="http://schemas.openxmlformats.org/officeDocument/2006/relationships/hyperlink" Target="https://www.sec.gov/Archives/edgar/data/827054/000082705426000016/" TargetMode="External" Id="rId78"/><Relationship Type="http://schemas.openxmlformats.org/officeDocument/2006/relationships/hyperlink" Target="https://www.sec.gov/Archives/edgar/data/827054/000082705426000016/" TargetMode="External" Id="rId79"/><Relationship Type="http://schemas.openxmlformats.org/officeDocument/2006/relationships/hyperlink" Target="https://www.sec.gov/Archives/edgar/data/827054/000082705426000038/" TargetMode="External" Id="rId80"/><Relationship Type="http://schemas.openxmlformats.org/officeDocument/2006/relationships/hyperlink" Target="https://www.sec.gov/Archives/edgar/data/827054/000082705426000038/" TargetMode="External" Id="rId81"/><Relationship Type="http://schemas.openxmlformats.org/officeDocument/2006/relationships/hyperlink" Target="https://www.sec.gov/Archives/edgar/data/827054/000082705426000038/" TargetMode="External" Id="rId82"/><Relationship Type="http://schemas.openxmlformats.org/officeDocument/2006/relationships/hyperlink" Target="https://www.sec.gov/Archives/edgar/data/827054/000082705426000016/" TargetMode="External" Id="rId83"/><Relationship Type="http://schemas.openxmlformats.org/officeDocument/2006/relationships/hyperlink" Target="https://www.sec.gov/Archives/edgar/data/827054/000082705426000016/" TargetMode="External" Id="rId84"/><Relationship Type="http://schemas.openxmlformats.org/officeDocument/2006/relationships/hyperlink" Target="https://www.sec.gov/Archives/edgar/data/827054/000082705426000016/" TargetMode="External" Id="rId85"/><Relationship Type="http://schemas.openxmlformats.org/officeDocument/2006/relationships/hyperlink" Target="https://www.sec.gov/Archives/edgar/data/827054/000082705426000038/" TargetMode="External" Id="rId86"/><Relationship Type="http://schemas.openxmlformats.org/officeDocument/2006/relationships/hyperlink" Target="https://www.sec.gov/Archives/edgar/data/827054/000082705426000038/" TargetMode="External" Id="rId87"/><Relationship Type="http://schemas.openxmlformats.org/officeDocument/2006/relationships/hyperlink" Target="https://www.sec.gov/Archives/edgar/data/827054/000082705426000038/" TargetMode="External" Id="rId88"/><Relationship Type="http://schemas.openxmlformats.org/officeDocument/2006/relationships/hyperlink" Target="https://www.sec.gov/Archives/edgar/data/827054/000082705426000016/" TargetMode="External" Id="rId89"/><Relationship Type="http://schemas.openxmlformats.org/officeDocument/2006/relationships/hyperlink" Target="https://www.sec.gov/Archives/edgar/data/827054/000082705426000016/" TargetMode="External" Id="rId90"/><Relationship Type="http://schemas.openxmlformats.org/officeDocument/2006/relationships/hyperlink" Target="https://www.sec.gov/Archives/edgar/data/827054/000082705426000016/" TargetMode="External" Id="rId91"/><Relationship Type="http://schemas.openxmlformats.org/officeDocument/2006/relationships/hyperlink" Target="https://www.sec.gov/Archives/edgar/data/827054/000082705426000038/" TargetMode="External" Id="rId92"/><Relationship Type="http://schemas.openxmlformats.org/officeDocument/2006/relationships/hyperlink" Target="https://www.sec.gov/Archives/edgar/data/827054/000082705426000038/" TargetMode="External" Id="rId93"/><Relationship Type="http://schemas.openxmlformats.org/officeDocument/2006/relationships/hyperlink" Target="https://www.sec.gov/Archives/edgar/data/827054/000082705426000038/" TargetMode="External" Id="rId94"/><Relationship Type="http://schemas.openxmlformats.org/officeDocument/2006/relationships/hyperlink" Target="https://www.sec.gov/Archives/edgar/data/827054/000082705426000038/" TargetMode="External" Id="rId95"/><Relationship Type="http://schemas.openxmlformats.org/officeDocument/2006/relationships/hyperlink" Target="https://www.sec.gov/Archives/edgar/data/827054/000082705426000038/" TargetMode="External" Id="rId96"/><Relationship Type="http://schemas.openxmlformats.org/officeDocument/2006/relationships/hyperlink" Target="https://www.sec.gov/Archives/edgar/data/827054/000082705426000038/" TargetMode="External" Id="rId97"/><Relationship Type="http://schemas.openxmlformats.org/officeDocument/2006/relationships/hyperlink" Target="https://www.sec.gov/Archives/edgar/data/827054/000082705426000038/" TargetMode="External" Id="rId98"/><Relationship Type="http://schemas.openxmlformats.org/officeDocument/2006/relationships/hyperlink" Target="https://www.sec.gov/Archives/edgar/data/827054/000082705426000038/" TargetMode="External" Id="rId99"/><Relationship Type="http://schemas.openxmlformats.org/officeDocument/2006/relationships/hyperlink" Target="https://www.sec.gov/Archives/edgar/data/827054/000082705426000038/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MCHP standard model (trial) · research run 2026-09-25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IFERROR(GOOGLEFINANCE("MCHP","price"),Valuation!$B$68)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Fair value at target date (no scenario deltas)</t>
        </is>
      </c>
      <c r="B8" s="4">
        <f>Valuation!$D$8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Valuation!$B$46</f>
        <v/>
      </c>
    </row>
    <row r="15">
      <c r="A15" t="inlineStr">
        <is>
          <t>Price at the run</t>
        </is>
      </c>
      <c r="B15" s="4">
        <f>Valuation!$B$68</f>
        <v/>
      </c>
    </row>
    <row r="16">
      <c r="A16" t="inlineStr">
        <is>
          <t>Blended page target (options 67% + agents 33%, not live)</t>
        </is>
      </c>
      <c r="B16" s="9" t="n">
        <v>85.7094</v>
      </c>
    </row>
    <row r="17">
      <c r="A17" t="inlineStr">
        <is>
          <t>Supervisor fair value (its own methods)</t>
        </is>
      </c>
      <c r="B17" s="9" t="n">
        <v>85</v>
      </c>
    </row>
    <row r="18">
      <c r="A18" t="inlineStr">
        <is>
          <t>Thesis break price (supervisor)</t>
        </is>
      </c>
      <c r="B18" s="9" t="n">
        <v>55</v>
      </c>
    </row>
    <row r="19">
      <c r="A19" t="inlineStr">
        <is>
          <t>Supervisor confidence</t>
        </is>
      </c>
      <c r="B19" t="inlineStr">
        <is>
          <t>low</t>
        </is>
      </c>
    </row>
    <row r="21">
      <c r="A21" s="3" t="inlineStr">
        <is>
          <t>Key estimates</t>
        </is>
      </c>
      <c r="B21" s="3" t="inlineStr">
        <is>
          <t>FY2026A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IF(Model!D11="","",Model!D11)</f>
        <v/>
      </c>
      <c r="C22" s="10">
        <f>Model!E11</f>
        <v/>
      </c>
      <c r="D22" s="10">
        <f>Model!F11</f>
        <v/>
      </c>
    </row>
    <row r="23">
      <c r="A23" s="11" t="inlineStr">
        <is>
          <t xml:space="preserve">  % YoY</t>
        </is>
      </c>
      <c r="B23" s="12">
        <f>IF(Model!D12="","",Model!D12)</f>
        <v/>
      </c>
      <c r="C23" s="12">
        <f>Model!E12</f>
        <v/>
      </c>
      <c r="D23" s="12">
        <f>Model!F12</f>
        <v/>
      </c>
    </row>
    <row r="24">
      <c r="A24" t="inlineStr">
        <is>
          <t>Pretax margin</t>
        </is>
      </c>
      <c r="B24" s="12">
        <f>IF(Model!D22="","",Model!D22)</f>
        <v/>
      </c>
      <c r="C24" s="12">
        <f>Model!E22</f>
        <v/>
      </c>
      <c r="D24" s="12">
        <f>Model!F22</f>
        <v/>
      </c>
    </row>
    <row r="25">
      <c r="A25" t="inlineStr">
        <is>
          <t>Diluted EPS (model)</t>
        </is>
      </c>
      <c r="B25" s="13">
        <f>IF(Model!D29="","",Model!D29)</f>
        <v/>
      </c>
      <c r="C25" s="13">
        <f>Model!E29</f>
        <v/>
      </c>
      <c r="D25" s="13">
        <f>Model!F29</f>
        <v/>
      </c>
    </row>
    <row r="26">
      <c r="A26" s="11" t="inlineStr">
        <is>
          <t xml:space="preserve">  % YoY</t>
        </is>
      </c>
      <c r="B26" s="12">
        <f>IF(Model!D30="","",Model!D30)</f>
        <v/>
      </c>
      <c r="C26" s="12">
        <f>Model!E30</f>
        <v/>
      </c>
      <c r="D26" s="12">
        <f>Model!F30</f>
        <v/>
      </c>
    </row>
    <row r="27">
      <c r="A27" t="inlineStr">
        <is>
          <t>Free cash flow to firm</t>
        </is>
      </c>
      <c r="B27" s="10">
        <f>IF(Model!D39="","",Model!D39)</f>
        <v/>
      </c>
      <c r="C27" s="10">
        <f>Model!E39</f>
        <v/>
      </c>
      <c r="D27" s="10">
        <f>Model!F39</f>
        <v/>
      </c>
    </row>
    <row r="29">
      <c r="A29" s="3" t="inlineStr">
        <is>
          <t>Valuation method</t>
        </is>
      </c>
      <c r="B29" s="3" t="inlineStr">
        <is>
          <t>Value per share</t>
        </is>
      </c>
      <c r="C29" s="3" t="inlineStr">
        <is>
          <t>Weight</t>
        </is>
      </c>
    </row>
    <row r="30">
      <c r="A30" s="14">
        <f>Valuation!A4</f>
        <v/>
      </c>
      <c r="B30" s="4">
        <f>Valuation!D4</f>
        <v/>
      </c>
      <c r="C30" s="12">
        <f>Valuation!E4</f>
        <v/>
      </c>
    </row>
    <row r="31">
      <c r="A31" s="14">
        <f>Valuation!A5</f>
        <v/>
      </c>
      <c r="B31" s="4">
        <f>Valuation!D5</f>
        <v/>
      </c>
      <c r="C31" s="12">
        <f>Valuation!E5</f>
        <v/>
      </c>
    </row>
    <row r="32">
      <c r="A32" s="14">
        <f>Valuation!A6</f>
        <v/>
      </c>
      <c r="B32" s="4">
        <f>Valuation!D6</f>
        <v/>
      </c>
      <c r="C32" s="12">
        <f>Valuation!E6</f>
        <v/>
      </c>
    </row>
    <row r="33">
      <c r="A33" s="14">
        <f>Valuation!A7</f>
        <v/>
      </c>
      <c r="B33" s="4">
        <f>Valuation!D7</f>
        <v/>
      </c>
      <c r="C33" s="12">
        <f>Valuation!E7</f>
        <v/>
      </c>
    </row>
    <row r="35">
      <c r="A35" s="3" t="inlineStr">
        <is>
          <t>Scenario</t>
        </is>
      </c>
      <c r="B35" s="3" t="inlineStr">
        <is>
          <t>Probability</t>
        </is>
      </c>
      <c r="C35" s="3" t="inlineStr">
        <is>
          <t>Value at target date</t>
        </is>
      </c>
      <c r="D35" s="3" t="inlineStr">
        <is>
          <t>What has to happen</t>
        </is>
      </c>
    </row>
    <row r="36">
      <c r="A36" s="14">
        <f>Distribution!A4</f>
        <v/>
      </c>
      <c r="B36" s="12">
        <f>Distribution!B4</f>
        <v/>
      </c>
      <c r="C36" s="4">
        <f>Distribution!C4</f>
        <v/>
      </c>
      <c r="D36" s="15">
        <f>Distribution!D4</f>
        <v/>
      </c>
    </row>
    <row r="37">
      <c r="A37" s="14">
        <f>Distribution!A5</f>
        <v/>
      </c>
      <c r="B37" s="12">
        <f>Distribution!B5</f>
        <v/>
      </c>
      <c r="C37" s="4">
        <f>Distribution!C5</f>
        <v/>
      </c>
      <c r="D37" s="15">
        <f>Distribution!D5</f>
        <v/>
      </c>
    </row>
    <row r="38">
      <c r="A38" s="14">
        <f>Distribution!A6</f>
        <v/>
      </c>
      <c r="B38" s="12">
        <f>Distribution!B6</f>
        <v/>
      </c>
      <c r="C38" s="4">
        <f>Distribution!C6</f>
        <v/>
      </c>
      <c r="D38" s="15">
        <f>Distribution!D6</f>
        <v/>
      </c>
    </row>
    <row r="40">
      <c r="A40" s="3" t="inlineStr">
        <is>
          <t>Price at target date</t>
        </is>
      </c>
      <c r="B40" s="3" t="inlineStr">
        <is>
          <t>Probability above</t>
        </is>
      </c>
    </row>
    <row r="41">
      <c r="A41" s="9">
        <f>ROUND(Valuation!$B$68*0.7,0)</f>
        <v/>
      </c>
      <c r="B41" s="16">
        <f>SUMPRODUCT(Distribution!$B$4:$B$6,1-NORMSDIST((LN(A41)-LN(Distribution!$C$4:$C$6))/Distribution!$B$9))</f>
        <v/>
      </c>
    </row>
    <row r="42">
      <c r="A42" s="9">
        <f>ROUND(Valuation!$B$68*0.8,0)</f>
        <v/>
      </c>
      <c r="B42" s="16">
        <f>SUMPRODUCT(Distribution!$B$4:$B$6,1-NORMSDIST((LN(A42)-LN(Distribution!$C$4:$C$6))/Distribution!$B$9))</f>
        <v/>
      </c>
    </row>
    <row r="43">
      <c r="A43" s="9">
        <f>ROUND(Valuation!$B$68*0.9,0)</f>
        <v/>
      </c>
      <c r="B43" s="16">
        <f>SUMPRODUCT(Distribution!$B$4:$B$6,1-NORMSDIST((LN(A43)-LN(Distribution!$C$4:$C$6))/Distribution!$B$9))</f>
        <v/>
      </c>
    </row>
    <row r="44">
      <c r="A44" s="9">
        <f>ROUND(Valuation!$B$68*1.0,0)</f>
        <v/>
      </c>
      <c r="B44" s="16">
        <f>SUMPRODUCT(Distribution!$B$4:$B$6,1-NORMSDIST((LN(A44)-LN(Distribution!$C$4:$C$6))/Distribution!$B$9))</f>
        <v/>
      </c>
    </row>
    <row r="45">
      <c r="A45" s="9">
        <f>ROUND(Valuation!$B$68*1.1,0)</f>
        <v/>
      </c>
      <c r="B45" s="16">
        <f>SUMPRODUCT(Distribution!$B$4:$B$6,1-NORMSDIST((LN(A45)-LN(Distribution!$C$4:$C$6))/Distribution!$B$9))</f>
        <v/>
      </c>
    </row>
    <row r="46">
      <c r="A46" s="9">
        <f>ROUND(Valuation!$B$68*1.2,0)</f>
        <v/>
      </c>
      <c r="B46" s="16">
        <f>SUMPRODUCT(Distribution!$B$4:$B$6,1-NORMSDIST((LN(A46)-LN(Distribution!$C$4:$C$6))/Distribution!$B$9))</f>
        <v/>
      </c>
    </row>
    <row r="47">
      <c r="A47" s="9">
        <f>ROUND(Valuation!$B$68*1.3,0)</f>
        <v/>
      </c>
      <c r="B47" s="16">
        <f>SUMPRODUCT(Distribution!$B$4:$B$6,1-NORMSDIST((LN(A47)-LN(Distribution!$C$4:$C$6))/Distribution!$B$9))</f>
        <v/>
      </c>
    </row>
    <row r="48">
      <c r="A48" s="9">
        <f>ROUND(Valuation!$B$68*1.5,0)</f>
        <v/>
      </c>
      <c r="B48" s="16">
        <f>SUMPRODUCT(Distribution!$B$4:$B$6,1-NORMSDIST((LN(A48)-LN(Distribution!$C$4:$C$6))/Distribution!$B$9))</f>
        <v/>
      </c>
    </row>
    <row r="50">
      <c r="A50" s="3" t="inlineStr">
        <is>
          <t>Model checks</t>
        </is>
      </c>
      <c r="B50" s="3" t="inlineStr">
        <is>
          <t>Status</t>
        </is>
      </c>
    </row>
    <row r="51">
      <c r="A51" t="inlineStr">
        <is>
          <t>Scenario probabilities sum to 100%</t>
        </is>
      </c>
      <c r="B51">
        <f>IF(ABS(Distribution!B8-1)&lt;0.005,"ok","FLAG: "&amp;TEXT(Distribution!B8,"0.0%"))</f>
        <v/>
      </c>
    </row>
    <row r="52">
      <c r="A52" t="inlineStr">
        <is>
          <t>WACC exceeds terminal growth by 1 point or more</t>
        </is>
      </c>
      <c r="B52">
        <f>IF('Calc - fair value'!B55="ok","ok","FLAG")</f>
        <v/>
      </c>
    </row>
    <row r="53">
      <c r="A53" t="inlineStr">
        <is>
          <t>Projection runs a full year past the target date</t>
        </is>
      </c>
      <c r="B53">
        <f>IF('Calc - fair value'!B56="ok","ok","FLAG")</f>
        <v/>
      </c>
    </row>
    <row r="54">
      <c r="A54" t="inlineStr">
        <is>
          <t>Method weights add up to more than zero</t>
        </is>
      </c>
      <c r="B54">
        <f>IF(SUM(Valuation!E4:E7)&gt;0,"ok","FLAG")</f>
        <v/>
      </c>
    </row>
    <row r="55">
      <c r="A55" t="inlineStr">
        <is>
          <t>Terminal value under 85% of the DCF</t>
        </is>
      </c>
      <c r="B55">
        <f>IF('Calc - fair value'!B46&lt;0.85,"ok","note: "&amp;TEXT('Calc - fair value'!B46,"0%")&amp;" of the DCF is terminal value")</f>
        <v/>
      </c>
    </row>
    <row r="56">
      <c r="A56" t="inlineStr">
        <is>
          <t>Matches the engine run at publication (target, fair value)</t>
        </is>
      </c>
      <c r="B56">
        <f>IF(AND(ABS(Distribution!$B$13-85.4015)&lt;0.01,ABS(Valuation!$D$8-85.3236)&lt;0.01),"ok","inputs edited since publication")</f>
        <v/>
      </c>
    </row>
    <row r="57">
      <c r="A57" s="17" t="inlineStr">
        <is>
          <t>All checks</t>
        </is>
      </c>
      <c r="B57" s="17">
        <f>IF(COUNTIF(B51:B56,"ok")=6,"all ok",6-COUNTIF(B51:B56,"ok")&amp;"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MCHP: annual model, base case</t>
        </is>
      </c>
    </row>
    <row r="2">
      <c r="A2" s="2" t="inlineStr">
        <is>
          <t>(M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FY2024A</t>
        </is>
      </c>
      <c r="C5" s="3" t="inlineStr">
        <is>
          <t>FY2025A</t>
        </is>
      </c>
      <c r="D5" s="3" t="inlineStr">
        <is>
          <t>FY2026A</t>
        </is>
      </c>
      <c r="E5" s="3" t="inlineStr">
        <is>
          <t>FY2027E</t>
        </is>
      </c>
      <c r="F5" s="3" t="inlineStr">
        <is>
          <t>FY2028E</t>
        </is>
      </c>
      <c r="G5" s="3" t="inlineStr">
        <is>
          <t>FY2029E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18" t="n">
        <v>45382</v>
      </c>
      <c r="C6" s="18" t="n">
        <v>45747</v>
      </c>
      <c r="D6" s="18" t="n">
        <v>46112</v>
      </c>
      <c r="E6" s="18">
        <f>IF(DAY(Valuation!$B$50+1)=1,EOMONTH(Valuation!$B$50,12*E7),EDATE(Valuation!$B$50,12*E7))</f>
        <v/>
      </c>
      <c r="F6" s="18">
        <f>IF(DAY(Valuation!$B$50+1)=1,EOMONTH(Valuation!$B$50,12*F7),EDATE(Valuation!$B$50,12*F7))</f>
        <v/>
      </c>
      <c r="G6" s="18">
        <f>IF(DAY(Valuation!$B$50+1)=1,EOMONTH(Valuation!$B$50,12*G7),EDATE(Valuation!$B$50,12*G7))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19" t="inlineStr">
        <is>
          <t>Sales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17" t="inlineStr">
        <is>
          <t>Net sales</t>
        </is>
      </c>
      <c r="B11" s="21" t="n">
        <v>7634.4</v>
      </c>
      <c r="C11" s="21" t="n">
        <v>4401.6</v>
      </c>
      <c r="D11" s="21" t="n">
        <v>4713.1</v>
      </c>
      <c r="E11" s="22">
        <f>Valuation!$B$51*(1+E48)</f>
        <v/>
      </c>
      <c r="F11" s="22">
        <f>E11*(1+F48)</f>
        <v/>
      </c>
      <c r="G11" s="22">
        <f>F11*(1+G48)</f>
        <v/>
      </c>
      <c r="H11" s="2" t="inlineStr">
        <is>
          <t>SEC XBRL F1, F2, F3</t>
        </is>
      </c>
    </row>
    <row r="12">
      <c r="A12" s="11" t="inlineStr">
        <is>
          <t xml:space="preserve">  % YoY</t>
        </is>
      </c>
      <c r="C12" s="23">
        <f>IF(OR(C11="",B11="",B11=0),"",C11/B11-1)</f>
        <v/>
      </c>
      <c r="D12" s="23">
        <f>IF(OR(D11="",C11="",C11=0),"",D11/C11-1)</f>
        <v/>
      </c>
      <c r="E12" s="23">
        <f>E11/Valuation!$B$51-1</f>
        <v/>
      </c>
      <c r="F12" s="23">
        <f>F11/E11-1</f>
        <v/>
      </c>
      <c r="G12" s="23">
        <f>G11/F11-1</f>
        <v/>
      </c>
    </row>
    <row r="14">
      <c r="A14" s="19" t="inlineStr">
        <is>
          <t>Operating profit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t="inlineStr">
        <is>
          <t>EBIT (operating income)</t>
        </is>
      </c>
      <c r="E15" s="21">
        <f>E11*E49</f>
        <v/>
      </c>
      <c r="F15" s="21">
        <f>F11*F49</f>
        <v/>
      </c>
      <c r="G15" s="21">
        <f>G11*G49</f>
        <v/>
      </c>
    </row>
    <row r="16">
      <c r="A16" s="11" t="inlineStr">
        <is>
          <t xml:space="preserve">  EBIT margin</t>
        </is>
      </c>
      <c r="E16" s="23">
        <f>E15/E11</f>
        <v/>
      </c>
      <c r="F16" s="23">
        <f>F15/F11</f>
        <v/>
      </c>
      <c r="G16" s="23">
        <f>G15/G11</f>
        <v/>
      </c>
    </row>
    <row r="17">
      <c r="A17" t="inlineStr">
        <is>
          <t>D&amp;A</t>
        </is>
      </c>
      <c r="B17" s="21" t="n">
        <v>879.5</v>
      </c>
      <c r="C17" s="21" t="n">
        <v>750.1</v>
      </c>
      <c r="D17" s="21" t="n">
        <v>689.3</v>
      </c>
      <c r="E17" s="21">
        <f>E11*E51</f>
        <v/>
      </c>
      <c r="F17" s="21">
        <f>F11*F51</f>
        <v/>
      </c>
      <c r="G17" s="21">
        <f>G11*G51</f>
        <v/>
      </c>
      <c r="H17" s="2" t="inlineStr">
        <is>
          <t>SEC XBRL F34, F35, F36</t>
        </is>
      </c>
    </row>
    <row r="18">
      <c r="A18" t="inlineStr">
        <is>
          <t>EBITDA</t>
        </is>
      </c>
      <c r="E18" s="21">
        <f>E15+E17</f>
        <v/>
      </c>
      <c r="F18" s="21">
        <f>F15+F17</f>
        <v/>
      </c>
      <c r="G18" s="21">
        <f>G15+G17</f>
        <v/>
      </c>
    </row>
    <row r="19">
      <c r="A19" s="11" t="inlineStr">
        <is>
          <t xml:space="preserve">  EBITDA margin</t>
        </is>
      </c>
      <c r="E19" s="23">
        <f>E18/E11</f>
        <v/>
      </c>
      <c r="F19" s="23">
        <f>F18/F11</f>
        <v/>
      </c>
      <c r="G19" s="23">
        <f>G18/G11</f>
        <v/>
      </c>
    </row>
    <row r="20">
      <c r="A20" t="inlineStr">
        <is>
          <t>Net interest income / (expense)</t>
        </is>
      </c>
      <c r="E20" s="21">
        <f>-Valuation!$B$59*Valuation!$B$57</f>
        <v/>
      </c>
      <c r="F20" s="21">
        <f>-Valuation!$B$59*E45</f>
        <v/>
      </c>
      <c r="G20" s="21">
        <f>-Valuation!$B$59*F45</f>
        <v/>
      </c>
      <c r="H20" s="2" t="inlineStr">
        <is>
          <t>rate x prior year-end net debt (memo roll)</t>
        </is>
      </c>
    </row>
    <row r="21">
      <c r="A21" s="17" t="inlineStr">
        <is>
          <t>Pretax income</t>
        </is>
      </c>
      <c r="B21" s="21" t="n">
        <v>2365.9</v>
      </c>
      <c r="C21" s="21" t="n">
        <v>38.9</v>
      </c>
      <c r="D21" s="21" t="n">
        <v>273.5</v>
      </c>
      <c r="E21" s="22">
        <f>E15+E20</f>
        <v/>
      </c>
      <c r="F21" s="22">
        <f>F15+F20</f>
        <v/>
      </c>
      <c r="G21" s="22">
        <f>G15+G20</f>
        <v/>
      </c>
      <c r="H21" s="2" t="inlineStr">
        <is>
          <t>SEC XBRL F87, F88, F89</t>
        </is>
      </c>
    </row>
    <row r="22">
      <c r="A22" s="11" t="inlineStr">
        <is>
          <t xml:space="preserve">  Pretax margin</t>
        </is>
      </c>
      <c r="B22" s="23">
        <f>B21/B11</f>
        <v/>
      </c>
      <c r="C22" s="23">
        <f>C21/C11</f>
        <v/>
      </c>
      <c r="D22" s="23">
        <f>D21/D11</f>
        <v/>
      </c>
      <c r="E22" s="23">
        <f>E21/E11</f>
        <v/>
      </c>
      <c r="F22" s="23">
        <f>F21/F11</f>
        <v/>
      </c>
      <c r="G22" s="23">
        <f>G21/G11</f>
        <v/>
      </c>
    </row>
    <row r="23">
      <c r="A23" t="inlineStr">
        <is>
          <t>Income tax</t>
        </is>
      </c>
      <c r="B23" s="21" t="n">
        <v>459</v>
      </c>
      <c r="C23" s="21" t="n">
        <v>39.4</v>
      </c>
      <c r="D23" s="21" t="n">
        <v>43.5</v>
      </c>
      <c r="E23" s="21">
        <f>E21*E50</f>
        <v/>
      </c>
      <c r="F23" s="21">
        <f>F21*F50</f>
        <v/>
      </c>
      <c r="G23" s="21">
        <f>G21*G50</f>
        <v/>
      </c>
      <c r="H23" s="2" t="inlineStr">
        <is>
          <t>SEC XBRL F80, F81, F82</t>
        </is>
      </c>
    </row>
    <row r="24">
      <c r="A24" s="11" t="inlineStr">
        <is>
          <t xml:space="preserve">  Effective tax rate</t>
        </is>
      </c>
      <c r="B24" s="23">
        <f>B23/B21</f>
        <v/>
      </c>
      <c r="C24" s="23">
        <f>C23/C21</f>
        <v/>
      </c>
      <c r="D24" s="23">
        <f>D23/D21</f>
        <v/>
      </c>
      <c r="E24" s="23">
        <f>E23/E21</f>
        <v/>
      </c>
      <c r="F24" s="23">
        <f>F23/F21</f>
        <v/>
      </c>
      <c r="G24" s="23">
        <f>G23/G21</f>
        <v/>
      </c>
    </row>
    <row r="25">
      <c r="A25" s="17" t="inlineStr">
        <is>
          <t>Net income</t>
        </is>
      </c>
      <c r="B25" s="21" t="n">
        <v>1906.9</v>
      </c>
      <c r="C25" s="21" t="n">
        <v>-0.5</v>
      </c>
      <c r="D25" s="21" t="n">
        <v>230</v>
      </c>
      <c r="E25" s="22">
        <f>E21-E23</f>
        <v/>
      </c>
      <c r="F25" s="22">
        <f>F21-F23</f>
        <v/>
      </c>
      <c r="G25" s="22">
        <f>G21-G23</f>
        <v/>
      </c>
      <c r="H25" s="2" t="inlineStr">
        <is>
          <t>SEC XBRL F15, F16, F17</t>
        </is>
      </c>
    </row>
    <row r="26">
      <c r="A26" s="11" t="inlineStr">
        <is>
          <t xml:space="preserve">  % YoY</t>
        </is>
      </c>
      <c r="C26" s="23">
        <f>IF(OR(C25="",B25="",B25=0),"",C25/B25-1)</f>
        <v/>
      </c>
      <c r="D26" s="23">
        <f>IF(OR(D25="",C25="",C25=0),"",D25/C25-1)</f>
        <v/>
      </c>
      <c r="E26" s="23">
        <f>IF(OR(D25="",D25=0),"",E25/D25-1)</f>
        <v/>
      </c>
      <c r="F26" s="23">
        <f>IF(OR(E25="",E25=0),"",F25/E25-1)</f>
        <v/>
      </c>
      <c r="G26" s="23">
        <f>IF(OR(F25="",F25=0),"",G25/F25-1)</f>
        <v/>
      </c>
    </row>
    <row r="27">
      <c r="A27" t="inlineStr">
        <is>
          <t>Diluted shares (M, average)</t>
        </is>
      </c>
      <c r="B27" s="21" t="n">
        <v>548</v>
      </c>
      <c r="C27" s="21" t="n">
        <v>537.3</v>
      </c>
      <c r="D27" s="21" t="n">
        <v>545.2</v>
      </c>
      <c r="E27" s="24">
        <f>Valuation!$B$61*(1+Valuation!$B$63)^(E7-0.5-((Valuation!$B$62-Valuation!$B$50)/365.25))</f>
        <v/>
      </c>
      <c r="F27" s="24">
        <f>Valuation!$B$61*(1+Valuation!$B$63)^(F7-0.5-((Valuation!$B$62-Valuation!$B$50)/365.25))</f>
        <v/>
      </c>
      <c r="G27" s="24">
        <f>Valuation!$B$61*(1+Valuation!$B$63)^(G7-0.5-((Valuation!$B$62-Valuation!$B$50)/365.25))</f>
        <v/>
      </c>
      <c r="H27" s="2" t="inlineStr">
        <is>
          <t>diluted count rolled at the annual change to mid-year</t>
        </is>
      </c>
    </row>
    <row r="28">
      <c r="A28" s="11" t="inlineStr">
        <is>
          <t xml:space="preserve">  % YoY</t>
        </is>
      </c>
      <c r="C28" s="23">
        <f>IF(OR(C27="",B27="",B27=0),"",C27/B27-1)</f>
        <v/>
      </c>
      <c r="D28" s="23">
        <f>IF(OR(D27="",C27="",C27=0),"",D27/C27-1)</f>
        <v/>
      </c>
      <c r="E28" s="23">
        <f>IF(OR(D27="",D27=0),"",E27/D27-1)</f>
        <v/>
      </c>
      <c r="F28" s="23">
        <f>IF(OR(E27="",E27=0),"",F27/E27-1)</f>
        <v/>
      </c>
      <c r="G28" s="23">
        <f>IF(OR(F27="",F27=0),"",G27/F27-1)</f>
        <v/>
      </c>
    </row>
    <row r="29">
      <c r="A29" s="17" t="inlineStr">
        <is>
          <t>Diluted EPS</t>
        </is>
      </c>
      <c r="B29" s="25" t="n">
        <v>3.48</v>
      </c>
      <c r="C29" s="25" t="n">
        <v>-0.01</v>
      </c>
      <c r="D29" s="25" t="n">
        <v>0.22</v>
      </c>
      <c r="E29" s="26">
        <f>E25/E27</f>
        <v/>
      </c>
      <c r="F29" s="26">
        <f>F25/F27</f>
        <v/>
      </c>
      <c r="G29" s="26">
        <f>G25/G27</f>
        <v/>
      </c>
      <c r="H29" s="2" t="inlineStr">
        <is>
          <t>SEC XBRL F22, F23, F24</t>
        </is>
      </c>
    </row>
    <row r="30">
      <c r="A30" s="11" t="inlineStr">
        <is>
          <t xml:space="preserve">  % YoY</t>
        </is>
      </c>
      <c r="C30" s="23">
        <f>IF(OR(C29="",B29="",B29=0),"",C29/B29-1)</f>
        <v/>
      </c>
      <c r="D30" s="23">
        <f>IF(OR(D29="",C29="",C29=0),"",D29/C29-1)</f>
        <v/>
      </c>
      <c r="E30" s="23">
        <f>IF(OR(D29="",D29=0),"",E29/D29-1)</f>
        <v/>
      </c>
      <c r="F30" s="23">
        <f>IF(OR(E29="",E29=0),"",F29/E29-1)</f>
        <v/>
      </c>
      <c r="G30" s="23">
        <f>IF(OR(F29="",F29=0),"",G29/F29-1)</f>
        <v/>
      </c>
    </row>
    <row r="32">
      <c r="A32" s="19" t="inlineStr">
        <is>
          <t>Cash flow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t="inlineStr">
        <is>
          <t>NOPAT (EBIT x (1 - tax))</t>
        </is>
      </c>
      <c r="E33" s="21">
        <f>E15*(1-E50)</f>
        <v/>
      </c>
      <c r="F33" s="21">
        <f>F15*(1-F50)</f>
        <v/>
      </c>
      <c r="G33" s="21">
        <f>G15*(1-G50)</f>
        <v/>
      </c>
    </row>
    <row r="34">
      <c r="A34" t="inlineStr">
        <is>
          <t>+ D&amp;A</t>
        </is>
      </c>
      <c r="B34" s="21">
        <f>B17</f>
        <v/>
      </c>
      <c r="C34" s="21">
        <f>C17</f>
        <v/>
      </c>
      <c r="D34" s="21">
        <f>D17</f>
        <v/>
      </c>
      <c r="E34" s="21">
        <f>E17</f>
        <v/>
      </c>
      <c r="F34" s="21">
        <f>F17</f>
        <v/>
      </c>
      <c r="G34" s="21">
        <f>G17</f>
        <v/>
      </c>
    </row>
    <row r="35">
      <c r="A35" t="inlineStr">
        <is>
          <t>- Capex</t>
        </is>
      </c>
      <c r="B35" s="21" t="n">
        <v>285.1</v>
      </c>
      <c r="C35" s="21" t="n">
        <v>126</v>
      </c>
      <c r="D35" s="21" t="n">
        <v>91.09999999999999</v>
      </c>
      <c r="E35" s="21">
        <f>E11*E52</f>
        <v/>
      </c>
      <c r="F35" s="21">
        <f>F11*F52</f>
        <v/>
      </c>
      <c r="G35" s="21">
        <f>G11*G52</f>
        <v/>
      </c>
      <c r="H35" s="2" t="inlineStr">
        <is>
          <t>SEC XBRL F55, F56, F57</t>
        </is>
      </c>
    </row>
    <row r="36">
      <c r="A36" s="11" t="inlineStr">
        <is>
          <t xml:space="preserve">  Capex % of sales</t>
        </is>
      </c>
      <c r="B36" s="23">
        <f>B35/B11</f>
        <v/>
      </c>
      <c r="C36" s="23">
        <f>C35/C11</f>
        <v/>
      </c>
      <c r="D36" s="23">
        <f>D35/D11</f>
        <v/>
      </c>
      <c r="E36" s="23">
        <f>E35/E11</f>
        <v/>
      </c>
      <c r="F36" s="23">
        <f>F35/F11</f>
        <v/>
      </c>
      <c r="G36" s="23">
        <f>G35/G11</f>
        <v/>
      </c>
    </row>
    <row r="37">
      <c r="A37" t="inlineStr">
        <is>
          <t>- Working capital increase</t>
        </is>
      </c>
      <c r="E37" s="21">
        <f>E53*(E11-Valuation!$B$51)</f>
        <v/>
      </c>
      <c r="F37" s="21">
        <f>F53*(F11-E11)</f>
        <v/>
      </c>
      <c r="G37" s="21">
        <f>G53*(G11-F11)</f>
        <v/>
      </c>
    </row>
    <row r="38">
      <c r="A38" t="inlineStr">
        <is>
          <t>- Stock comp (adjusted EBIT only)</t>
        </is>
      </c>
      <c r="E38" s="21">
        <f>IF(AND(Valuation!$B$48="adjusted",Valuation!$B$49="cost"),E42*(1-E50),0)</f>
        <v/>
      </c>
      <c r="F38" s="21">
        <f>IF(AND(Valuation!$B$48="adjusted",Valuation!$B$49="cost"),F42*(1-F50),0)</f>
        <v/>
      </c>
      <c r="G38" s="21">
        <f>IF(AND(Valuation!$B$48="adjusted",Valuation!$B$49="cost"),G42*(1-G50),0)</f>
        <v/>
      </c>
    </row>
    <row r="39">
      <c r="A39" s="17" t="inlineStr">
        <is>
          <t>Free cash flow to firm</t>
        </is>
      </c>
      <c r="E39" s="22">
        <f>E33+E34-E35-E37-E38</f>
        <v/>
      </c>
      <c r="F39" s="22">
        <f>F33+F34-F35-F37-F38</f>
        <v/>
      </c>
      <c r="G39" s="22">
        <f>G33+G34-G35-G37-G38</f>
        <v/>
      </c>
      <c r="H39" s="2" t="inlineStr">
        <is>
          <t>what the DCF discounts (Calc tabs)</t>
        </is>
      </c>
    </row>
    <row r="40">
      <c r="A40" t="inlineStr">
        <is>
          <t>Operating cash flow (reported)</t>
        </is>
      </c>
      <c r="B40" s="21" t="n">
        <v>2892.7</v>
      </c>
      <c r="C40" s="21" t="n">
        <v>898.1</v>
      </c>
      <c r="D40" s="21" t="n">
        <v>962.1</v>
      </c>
      <c r="H40" s="2" t="inlineStr">
        <is>
          <t>SEC XBRL F48, F49, F50</t>
        </is>
      </c>
    </row>
    <row r="41">
      <c r="A41" t="inlineStr">
        <is>
          <t>FCF (operating cash flow - capex)</t>
        </is>
      </c>
      <c r="B41" s="21">
        <f>B40-B35</f>
        <v/>
      </c>
      <c r="C41" s="21">
        <f>C40-C35</f>
        <v/>
      </c>
      <c r="D41" s="21">
        <f>D40-D35</f>
        <v/>
      </c>
    </row>
    <row r="42">
      <c r="A42" t="inlineStr">
        <is>
          <t>Stock comp (memo)</t>
        </is>
      </c>
      <c r="B42" s="21" t="n">
        <v>177.5</v>
      </c>
      <c r="C42" s="21" t="n">
        <v>180.4</v>
      </c>
      <c r="D42" s="21" t="n">
        <v>255.4</v>
      </c>
      <c r="E42" s="21">
        <f>E11*E54</f>
        <v/>
      </c>
      <c r="F42" s="21">
        <f>F11*F54</f>
        <v/>
      </c>
      <c r="G42" s="21">
        <f>G11*G54</f>
        <v/>
      </c>
      <c r="H42" s="2" t="inlineStr">
        <is>
          <t>SEC XBRL F41, F42, F43</t>
        </is>
      </c>
    </row>
    <row r="43">
      <c r="A43" t="inlineStr">
        <is>
          <t>Buybacks + dividends + other uses</t>
        </is>
      </c>
      <c r="B43" s="21" t="n">
        <v>1893.6</v>
      </c>
      <c r="C43" s="21" t="n">
        <v>1072.2</v>
      </c>
      <c r="D43" s="21" t="n">
        <v>984</v>
      </c>
      <c r="E43" s="21">
        <f>E11*E56+E55+E57</f>
        <v/>
      </c>
      <c r="F43" s="21">
        <f>F11*F56+F55+F57</f>
        <v/>
      </c>
      <c r="G43" s="21">
        <f>G11*G56+G55+G57</f>
        <v/>
      </c>
      <c r="H43" s="2" t="inlineStr">
        <is>
          <t>SEC XBRL F62, F66, F63, F67, F64, F68</t>
        </is>
      </c>
    </row>
    <row r="44">
      <c r="A44" s="11" t="inlineStr">
        <is>
          <t xml:space="preserve">  % of sales</t>
        </is>
      </c>
      <c r="B44" s="23">
        <f>B43/B11</f>
        <v/>
      </c>
      <c r="C44" s="23">
        <f>C43/C11</f>
        <v/>
      </c>
      <c r="D44" s="23">
        <f>D43/D11</f>
        <v/>
      </c>
      <c r="E44" s="23">
        <f>E43/E11</f>
        <v/>
      </c>
      <c r="F44" s="23">
        <f>F43/F11</f>
        <v/>
      </c>
      <c r="G44" s="23">
        <f>G43/G11</f>
        <v/>
      </c>
    </row>
    <row r="45">
      <c r="A45" t="inlineStr">
        <is>
          <t>Net debt / (net cash), year end (memo)</t>
        </is>
      </c>
      <c r="E45" s="21">
        <f>Valuation!$B$57-E39-E20*(1-E50)+E43</f>
        <v/>
      </c>
      <c r="F45" s="21">
        <f>E45-F39-F20*(1-F50)+F43</f>
        <v/>
      </c>
      <c r="G45" s="21">
        <f>F45-G39-G20*(1-G50)+G43</f>
        <v/>
      </c>
      <c r="H45" s="2" t="inlineStr">
        <is>
          <t>rolled from the balance-date figure; feeds interest only</t>
        </is>
      </c>
    </row>
    <row r="47">
      <c r="A47" s="19" t="inlineStr">
        <is>
          <t>Drivers (blue = input; a year left black carries the prior year)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t="inlineStr">
        <is>
          <t>Revenue growth</t>
        </is>
      </c>
      <c r="C48" s="16">
        <f>C12</f>
        <v/>
      </c>
      <c r="D48" s="16">
        <f>D12</f>
        <v/>
      </c>
      <c r="E48" s="27" t="n">
        <v>0.33568</v>
      </c>
      <c r="F48" s="27" t="n">
        <v>0.1755</v>
      </c>
      <c r="G48" s="27" t="n">
        <v>0.0419</v>
      </c>
    </row>
    <row r="49">
      <c r="A49" t="inlineStr">
        <is>
          <t>EBIT margin</t>
        </is>
      </c>
      <c r="E49" s="27" t="n">
        <v>0.3808</v>
      </c>
      <c r="F49" s="27" t="n">
        <v>0.4</v>
      </c>
      <c r="G49" s="16">
        <f>F49</f>
        <v/>
      </c>
    </row>
    <row r="50">
      <c r="A50" t="inlineStr">
        <is>
          <t>Tax rate</t>
        </is>
      </c>
      <c r="B50" s="16">
        <f>B24</f>
        <v/>
      </c>
      <c r="C50" s="16">
        <f>C24</f>
        <v/>
      </c>
      <c r="D50" s="16">
        <f>D24</f>
        <v/>
      </c>
      <c r="E50" s="27" t="n">
        <v>0.075</v>
      </c>
      <c r="F50" s="27" t="n">
        <v>0.08</v>
      </c>
      <c r="G50" s="16">
        <f>F50</f>
        <v/>
      </c>
    </row>
    <row r="51">
      <c r="A51" t="inlineStr">
        <is>
          <t>D&amp;A % revenue</t>
        </is>
      </c>
      <c r="B51" s="16">
        <f>B17/B11</f>
        <v/>
      </c>
      <c r="C51" s="16">
        <f>C17/C11</f>
        <v/>
      </c>
      <c r="D51" s="16">
        <f>D17/D11</f>
        <v/>
      </c>
      <c r="E51" s="27" t="n">
        <v>0.0274</v>
      </c>
      <c r="F51" s="27" t="n">
        <v>0.0274</v>
      </c>
      <c r="G51" s="16">
        <f>F51</f>
        <v/>
      </c>
    </row>
    <row r="52">
      <c r="A52" t="inlineStr">
        <is>
          <t>Capex % revenue</t>
        </is>
      </c>
      <c r="B52" s="16">
        <f>B36</f>
        <v/>
      </c>
      <c r="C52" s="16">
        <f>C36</f>
        <v/>
      </c>
      <c r="D52" s="16">
        <f>D36</f>
        <v/>
      </c>
      <c r="E52" s="27" t="n">
        <v>0.01689</v>
      </c>
      <c r="F52" s="27" t="n">
        <v>0.01689</v>
      </c>
      <c r="G52" s="16">
        <f>F52</f>
        <v/>
      </c>
    </row>
    <row r="53">
      <c r="A53" t="inlineStr">
        <is>
          <t>Working capital % of revenue increase</t>
        </is>
      </c>
      <c r="E53" s="27" t="n">
        <v>0.1245</v>
      </c>
      <c r="F53" s="27" t="n">
        <v>0.1245</v>
      </c>
      <c r="G53" s="16">
        <f>F53</f>
        <v/>
      </c>
    </row>
    <row r="54">
      <c r="A54" t="inlineStr">
        <is>
          <t>Stock comp % revenue</t>
        </is>
      </c>
      <c r="B54" s="16">
        <f>B42/B11</f>
        <v/>
      </c>
      <c r="C54" s="16">
        <f>C42/C11</f>
        <v/>
      </c>
      <c r="D54" s="16">
        <f>D42/D11</f>
        <v/>
      </c>
      <c r="E54" s="27" t="n">
        <v>0.0542</v>
      </c>
      <c r="F54" s="27" t="n">
        <v>0.0542</v>
      </c>
      <c r="G54" s="16">
        <f>F54</f>
        <v/>
      </c>
    </row>
    <row r="55">
      <c r="A55" t="inlineStr">
        <is>
          <t>Shareholder returns ($)</t>
        </is>
      </c>
      <c r="E55" s="28" t="n">
        <v>0</v>
      </c>
      <c r="F55" s="28" t="n">
        <v>0</v>
      </c>
      <c r="G55" s="21">
        <f>F55</f>
        <v/>
      </c>
    </row>
    <row r="56">
      <c r="A56" t="inlineStr">
        <is>
          <t>Shareholder returns % revenue</t>
        </is>
      </c>
      <c r="B56" s="16">
        <f>B44</f>
        <v/>
      </c>
      <c r="C56" s="16">
        <f>C44</f>
        <v/>
      </c>
      <c r="D56" s="16">
        <f>D44</f>
        <v/>
      </c>
      <c r="E56" s="27" t="n">
        <v>0</v>
      </c>
      <c r="F56" s="16">
        <f>E56</f>
        <v/>
      </c>
      <c r="G56" s="16">
        <f>F56</f>
        <v/>
      </c>
    </row>
    <row r="57">
      <c r="A57" t="inlineStr">
        <is>
          <t>Other uses of cash ($: M&amp;A, investments)</t>
        </is>
      </c>
      <c r="E57" s="28" t="n">
        <v>0</v>
      </c>
      <c r="F57" s="21">
        <f>E57</f>
        <v/>
      </c>
      <c r="G57" s="21">
        <f>F57</f>
        <v/>
      </c>
    </row>
    <row r="58">
      <c r="A58" t="inlineStr">
        <is>
          <t>Adj. EBITDA addback % revenue</t>
        </is>
      </c>
      <c r="E58" s="27" t="n">
        <v>0</v>
      </c>
      <c r="F58" s="27" t="n">
        <v>0</v>
      </c>
      <c r="G58" s="16">
        <f>F58</f>
        <v/>
      </c>
    </row>
    <row r="60">
      <c r="A60" s="19" t="inlineStr">
        <is>
          <t>Versus company guidance and street consensus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t="inlineStr">
        <is>
          <t>Guidance: tax rate (non-GAAP (Q2 guide $42.2-44.3M on $562.2-590.7M pretax)), midpoint</t>
        </is>
      </c>
      <c r="E61" s="29">
        <f>AVERAGE(0.075,0.075)</f>
        <v/>
      </c>
      <c r="H61" s="2" t="inlineStr">
        <is>
          <t>0.075 to 0.075; as of 2026-08-06; source 3, 10 (Microchip Q1 FY2027 results press release (8-K Ex. 99.1))</t>
        </is>
      </c>
    </row>
    <row r="62">
      <c r="A62" s="11" t="inlineStr">
        <is>
          <t xml:space="preserve">  Model vs guidance midpoint</t>
        </is>
      </c>
      <c r="E62" s="30">
        <f>(E24-E61)*10000</f>
        <v/>
      </c>
      <c r="H62" s="2">
        <f>IF(E24&lt;0.075,"below the guided range",IF(E24&gt;0.075,"above the guided range","inside the guided range"))</f>
        <v/>
      </c>
    </row>
    <row r="63">
      <c r="A63" t="inlineStr">
        <is>
          <t>Guidance: capex ($M, approximate (Sep quarter $20-25M)), midpoint</t>
        </is>
      </c>
      <c r="E63" s="31">
        <f>AVERAGE(100.0,100.0)</f>
        <v/>
      </c>
      <c r="H63" s="2" t="inlineStr">
        <is>
          <t>100 to 100; as of 2026-08-06; source 3 (Microchip Q1 FY2027 results press release (8-K Ex. 99.1))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MCHP: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4">
        <f>'Calc - fair value'!A67</f>
        <v/>
      </c>
      <c r="B4" s="4">
        <f>IF('Calc - fair value'!C67="","",'Calc - fair value'!C67)</f>
        <v/>
      </c>
      <c r="C4" s="32">
        <f>IF('Calc - fair value'!I67="","",'Calc - fair value'!I67)</f>
        <v/>
      </c>
      <c r="D4" s="4">
        <f>'Calc - fair value'!F67</f>
        <v/>
      </c>
      <c r="E4" s="12">
        <f>'Calc - fair value'!G67</f>
        <v/>
      </c>
      <c r="F4" s="9">
        <f>D4*E4/SUM($E$4:$E$7)</f>
        <v/>
      </c>
    </row>
    <row r="5">
      <c r="A5" s="14">
        <f>'Calc - fair value'!A68</f>
        <v/>
      </c>
      <c r="B5" s="4">
        <f>IF('Calc - fair value'!C68="","",'Calc - fair value'!C68)</f>
        <v/>
      </c>
      <c r="C5" s="32">
        <f>IF('Calc - fair value'!I68="","",'Calc - fair value'!I68)</f>
        <v/>
      </c>
      <c r="D5" s="4">
        <f>'Calc - fair value'!F68</f>
        <v/>
      </c>
      <c r="E5" s="12">
        <f>'Calc - fair value'!G68</f>
        <v/>
      </c>
      <c r="F5" s="9">
        <f>D5*E5/SUM($E$4:$E$7)</f>
        <v/>
      </c>
    </row>
    <row r="6">
      <c r="A6" s="14">
        <f>'Calc - fair value'!A69</f>
        <v/>
      </c>
      <c r="B6" s="4">
        <f>IF('Calc - fair value'!C69="","",'Calc - fair value'!C69)</f>
        <v/>
      </c>
      <c r="C6" s="32">
        <f>IF('Calc - fair value'!I69="","",'Calc - fair value'!I69)</f>
        <v/>
      </c>
      <c r="D6" s="4">
        <f>'Calc - fair value'!F69</f>
        <v/>
      </c>
      <c r="E6" s="12">
        <f>'Calc - fair value'!G69</f>
        <v/>
      </c>
      <c r="F6" s="9">
        <f>D6*E6/SUM($E$4:$E$7)</f>
        <v/>
      </c>
    </row>
    <row r="7">
      <c r="A7" s="14">
        <f>'Calc - fair value'!A70</f>
        <v/>
      </c>
      <c r="B7" s="4">
        <f>IF('Calc - fair value'!C70="","",'Calc - fair value'!C70)</f>
        <v/>
      </c>
      <c r="C7" s="32">
        <f>IF('Calc - fair value'!I70="","",'Calc - fair value'!I70)</f>
        <v/>
      </c>
      <c r="D7" s="4">
        <f>'Calc - fair value'!F70</f>
        <v/>
      </c>
      <c r="E7" s="12">
        <f>'Calc - fair value'!G70</f>
        <v/>
      </c>
      <c r="F7" s="9">
        <f>D7*E7/SUM($E$4:$E$7)</f>
        <v/>
      </c>
    </row>
    <row r="8">
      <c r="A8" s="17" t="inlineStr">
        <is>
          <t>Fair value per share at target date</t>
        </is>
      </c>
      <c r="D8" s="6">
        <f>'Calc - fair value'!$F$71</f>
        <v/>
      </c>
      <c r="F8" s="6">
        <f>SUM(F4:F7)</f>
        <v/>
      </c>
    </row>
    <row r="10">
      <c r="A10" s="19" t="inlineStr">
        <is>
          <t>12-month EPS basis (what the P/E is applied to)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3" t="inlineStr">
        <is>
          <t>Fiscal year</t>
        </is>
      </c>
      <c r="B11" s="3">
        <f>Model!E5</f>
        <v/>
      </c>
      <c r="C11" s="3">
        <f>Model!F5</f>
        <v/>
      </c>
      <c r="D11" s="3">
        <f>Model!G5</f>
        <v/>
      </c>
    </row>
    <row r="12">
      <c r="A12" t="inlineStr">
        <is>
          <t>Share of the 12 months after the target date</t>
        </is>
      </c>
      <c r="B12" s="12">
        <f>'Calc - fair value'!C38</f>
        <v/>
      </c>
      <c r="C12" s="12">
        <f>'Calc - fair value'!D38</f>
        <v/>
      </c>
      <c r="D12" s="12">
        <f>'Calc - fair value'!E38</f>
        <v/>
      </c>
    </row>
    <row r="13">
      <c r="A13" t="inlineStr">
        <is>
          <t>Model EPS (Model tab)</t>
        </is>
      </c>
      <c r="B13" s="13">
        <f>Model!E29</f>
        <v/>
      </c>
      <c r="C13" s="13">
        <f>Model!F29</f>
        <v/>
      </c>
      <c r="D13" s="13">
        <f>Model!G29</f>
        <v/>
      </c>
    </row>
    <row r="14">
      <c r="A14" t="inlineStr">
        <is>
          <t>Model EPS, next 12 months after the target date</t>
        </is>
      </c>
      <c r="B14" s="26">
        <f>SUMPRODUCT(B12:D12,B13:D13)</f>
        <v/>
      </c>
    </row>
    <row r="15">
      <c r="A15" t="inlineStr">
        <is>
          <t>Stated next-12-month EPS used by the P/E method (consensus basis, cited)</t>
        </is>
      </c>
      <c r="B15" s="25">
        <f>Valuation!F71</f>
        <v/>
      </c>
      <c r="C15" s="23">
        <f>B15/B14-1</f>
        <v/>
      </c>
      <c r="D15" s="2" t="inlineStr">
        <is>
          <t>vs model EPS</t>
        </is>
      </c>
    </row>
    <row r="17">
      <c r="A17" s="19" t="inlineStr">
        <is>
          <t>DCF build (free cash flow to firm, discounted to the target date)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</row>
    <row r="18">
      <c r="A18" s="3" t="inlineStr">
        <is>
          <t>Fiscal year</t>
        </is>
      </c>
      <c r="B18" s="3">
        <f>Model!E5</f>
        <v/>
      </c>
      <c r="C18" s="3">
        <f>Model!F5</f>
        <v/>
      </c>
      <c r="D18" s="3">
        <f>Model!G5</f>
        <v/>
      </c>
    </row>
    <row r="19">
      <c r="A19" t="inlineStr">
        <is>
          <t>Free cash flow to firm</t>
        </is>
      </c>
      <c r="B19" s="10">
        <f>'Calc - fair value'!C31</f>
        <v/>
      </c>
      <c r="C19" s="10">
        <f>'Calc - fair value'!D31</f>
        <v/>
      </c>
      <c r="D19" s="10">
        <f>'Calc - fair value'!E31</f>
        <v/>
      </c>
    </row>
    <row r="20">
      <c r="A20" t="inlineStr">
        <is>
          <t>Share of the year after the target date</t>
        </is>
      </c>
      <c r="B20" s="12">
        <f>'Calc - fair value'!C35</f>
        <v/>
      </c>
      <c r="C20" s="12">
        <f>'Calc - fair value'!D35</f>
        <v/>
      </c>
      <c r="D20" s="12">
        <f>'Calc - fair value'!E35</f>
        <v/>
      </c>
    </row>
    <row r="21">
      <c r="A21" t="inlineStr">
        <is>
          <t>PV at target date</t>
        </is>
      </c>
      <c r="B21" s="10">
        <f>'Calc - fair value'!C36</f>
        <v/>
      </c>
      <c r="C21" s="10">
        <f>'Calc - fair value'!D36</f>
        <v/>
      </c>
      <c r="D21" s="10">
        <f>'Calc - fair value'!E36</f>
        <v/>
      </c>
    </row>
    <row r="23">
      <c r="A23" t="inlineStr">
        <is>
          <t>PV of free cash flow after the target date</t>
        </is>
      </c>
      <c r="B23" s="10">
        <f>'Calc - fair value'!B42</f>
        <v/>
      </c>
    </row>
    <row r="24">
      <c r="A24" t="inlineStr">
        <is>
          <t>Terminal value (final year)</t>
        </is>
      </c>
      <c r="B24" s="10">
        <f>'Calc - fair value'!B43</f>
        <v/>
      </c>
    </row>
    <row r="25">
      <c r="A25" t="inlineStr">
        <is>
          <t>PV of terminal value</t>
        </is>
      </c>
      <c r="B25" s="10">
        <f>'Calc - fair value'!B44</f>
        <v/>
      </c>
    </row>
    <row r="26">
      <c r="A26" t="inlineStr">
        <is>
          <t>Enterprise value at target date</t>
        </is>
      </c>
      <c r="B26" s="10">
        <f>'Calc - fair value'!B45</f>
        <v/>
      </c>
    </row>
    <row r="27">
      <c r="A27" t="inlineStr">
        <is>
          <t>Terminal value share of DCF</t>
        </is>
      </c>
      <c r="B27" s="12">
        <f>'Calc - fair value'!B46</f>
        <v/>
      </c>
    </row>
    <row r="28">
      <c r="A28" t="inlineStr">
        <is>
          <t>Net debt at target date</t>
        </is>
      </c>
      <c r="B28" s="10">
        <f>'Calc - fair value'!B50</f>
        <v/>
      </c>
    </row>
    <row r="29">
      <c r="A29" t="inlineStr">
        <is>
          <t>Minority interests</t>
        </is>
      </c>
      <c r="B29" s="10">
        <f>'Calc - fair value'!B51</f>
        <v/>
      </c>
    </row>
    <row r="30">
      <c r="A30" t="inlineStr">
        <is>
          <t>Adjustments</t>
        </is>
      </c>
      <c r="B30" s="10">
        <f>'Calc - fair value'!B52</f>
        <v/>
      </c>
    </row>
    <row r="31">
      <c r="A31" t="inlineStr">
        <is>
          <t>Diluted shares at target date (M)</t>
        </is>
      </c>
      <c r="B31" s="33">
        <f>'Calc - fair value'!B53</f>
        <v/>
      </c>
    </row>
    <row r="32">
      <c r="A32" t="inlineStr">
        <is>
          <t>DCF value per share</t>
        </is>
      </c>
      <c r="B32" s="4">
        <f>'Calc - fair value'!F67</f>
        <v/>
      </c>
    </row>
    <row r="33">
      <c r="A33" t="inlineStr">
        <is>
          <t>WACC</t>
        </is>
      </c>
      <c r="B33" s="12">
        <f>'Calc - fair value'!B12</f>
        <v/>
      </c>
    </row>
    <row r="34">
      <c r="A34" t="inlineStr">
        <is>
          <t>WACC at which the DCF equals the multiples (reverse DCF, engine run; not live)</t>
        </is>
      </c>
      <c r="B34" s="16" t="n">
        <v>0.04712717203334708</v>
      </c>
    </row>
    <row r="43">
      <c r="A43" s="19" t="inlineStr">
        <is>
          <t>Assumptions (blue = input; sources on the Sources tab)</t>
        </is>
      </c>
      <c r="B43" s="20" t="n"/>
      <c r="C43" s="20" t="n"/>
      <c r="D43" s="20" t="n"/>
      <c r="E43" s="20" t="n"/>
      <c r="F43" s="20" t="n"/>
      <c r="G43" s="20" t="n"/>
      <c r="H43" s="20" t="n"/>
      <c r="I43" s="20" t="n"/>
    </row>
    <row r="44">
      <c r="A44" s="3" t="inlineStr">
        <is>
          <t>Input</t>
        </is>
      </c>
      <c r="B44" s="3" t="inlineStr">
        <is>
          <t>Value</t>
        </is>
      </c>
      <c r="C44" s="3" t="inlineStr">
        <is>
          <t>Basis / note</t>
        </is>
      </c>
    </row>
    <row r="45">
      <c r="A45" t="inlineStr">
        <is>
          <t>Run date (valuation as of)</t>
        </is>
      </c>
      <c r="B45" s="34" t="n">
        <v>46290</v>
      </c>
      <c r="C45" t="inlineStr"/>
    </row>
    <row r="46">
      <c r="A46" t="inlineStr">
        <is>
          <t>Target date (run date + 365 days)</t>
        </is>
      </c>
      <c r="B46" s="18">
        <f>B45+365</f>
        <v/>
      </c>
      <c r="C46" t="inlineStr">
        <is>
          <t>12-month horizon</t>
        </is>
      </c>
    </row>
    <row r="47">
      <c r="A47" t="inlineStr">
        <is>
          <t>Money unit</t>
        </is>
      </c>
      <c r="B47" s="35" t="inlineStr">
        <is>
          <t>$M</t>
        </is>
      </c>
      <c r="C47" t="inlineStr"/>
    </row>
    <row r="48">
      <c r="A48" t="inlineStr">
        <is>
          <t>EBIT basis (gaap / adjusted)</t>
        </is>
      </c>
      <c r="B48" s="35" t="inlineStr">
        <is>
          <t>adjusted</t>
        </is>
      </c>
      <c r="C48" t="inlineStr">
        <is>
          <t>gaap = after stock comp</t>
        </is>
      </c>
    </row>
    <row r="49">
      <c r="A49" t="inlineStr">
        <is>
          <t>Stock comp treatment (cost / dilution)</t>
        </is>
      </c>
      <c r="B49" s="35" t="inlineStr">
        <is>
          <t>cost</t>
        </is>
      </c>
      <c r="C49" t="inlineStr">
        <is>
          <t>used only when EBIT is adjusted</t>
        </is>
      </c>
    </row>
    <row r="50">
      <c r="A50" t="inlineStr">
        <is>
          <t>Last reported fiscal year end</t>
        </is>
      </c>
      <c r="B50" s="34" t="n">
        <v>46112</v>
      </c>
      <c r="C50" t="inlineStr"/>
    </row>
    <row r="51">
      <c r="A51" t="inlineStr">
        <is>
          <t>Net sales, last reported year ($M)</t>
        </is>
      </c>
      <c r="B51" s="28" t="n">
        <v>4713.1</v>
      </c>
      <c r="C51" t="inlineStr"/>
    </row>
    <row r="52">
      <c r="A52" t="inlineStr">
        <is>
          <t>WACC</t>
        </is>
      </c>
      <c r="B52" s="27" t="n">
        <v>0.1358</v>
      </c>
      <c r="C52" t="inlineStr">
        <is>
          <t>filled in (not stated in this set's original work): cost of equity 0.1462 = T-bill 0.0412 + beta 2.10 x 5% (the price target's market leg, 2026-09-25); after-tax debt 0.0474 x (1 - 0.075) on net debt and minorities 5,089 vs equity 45,192 (574.30M x $78.69) -&gt; WACC 0.1358</t>
        </is>
      </c>
    </row>
    <row r="53">
      <c r="A53" t="inlineStr">
        <is>
          <t>Terminal method (gordon / exit_multiple)</t>
        </is>
      </c>
      <c r="B53" s="35" t="inlineStr">
        <is>
          <t>gordon</t>
        </is>
      </c>
      <c r="C53" t="inlineStr"/>
    </row>
    <row r="54">
      <c r="A54" t="inlineStr">
        <is>
          <t>Terminal growth</t>
        </is>
      </c>
      <c r="B54" s="27" t="n">
        <v>0</v>
      </c>
      <c r="C54" t="inlineStr"/>
    </row>
    <row r="55">
      <c r="A55" t="inlineStr">
        <is>
          <t>Exit EV/EBITDA (exit_multiple only)</t>
        </is>
      </c>
      <c r="B55" s="36" t="n"/>
      <c r="C55" t="inlineStr"/>
    </row>
    <row r="56">
      <c r="A56" t="inlineStr">
        <is>
          <t>Balance-sheet date</t>
        </is>
      </c>
      <c r="B56" s="34" t="n">
        <v>46203</v>
      </c>
      <c r="C56" t="inlineStr"/>
    </row>
    <row r="57">
      <c r="A57" t="inlineStr">
        <is>
          <t>Net debt / (net cash) at balance date ($M)</t>
        </is>
      </c>
      <c r="B57" s="28" t="n">
        <v>5089</v>
      </c>
      <c r="C57" t="inlineStr">
        <is>
          <t>excludes operating leases</t>
        </is>
      </c>
    </row>
    <row r="58">
      <c r="A58" t="inlineStr">
        <is>
          <t>Minority interests</t>
        </is>
      </c>
      <c r="B58" s="28" t="n">
        <v>0</v>
      </c>
      <c r="C58" t="inlineStr"/>
    </row>
    <row r="59">
      <c r="A59" t="inlineStr">
        <is>
          <t>Interest rate on net debt / cash</t>
        </is>
      </c>
      <c r="B59" s="27" t="n">
        <v>0.0474</v>
      </c>
      <c r="C59" t="inlineStr"/>
    </row>
    <row r="60">
      <c r="A60" t="inlineStr">
        <is>
          <t>Net debt at target date (override; blank = bridge)</t>
        </is>
      </c>
      <c r="B60" s="28" t="n">
        <v>3800</v>
      </c>
      <c r="C60" t="inlineStr"/>
    </row>
    <row r="61">
      <c r="A61" t="inlineStr">
        <is>
          <t>Diluted shares (M)</t>
        </is>
      </c>
      <c r="B61" s="37" t="n">
        <v>574.3</v>
      </c>
      <c r="C61" t="inlineStr"/>
    </row>
    <row r="62">
      <c r="A62" t="inlineStr">
        <is>
          <t>Share count date</t>
        </is>
      </c>
      <c r="B62" s="34" t="n">
        <v>46203</v>
      </c>
      <c r="C62" t="inlineStr"/>
    </row>
    <row r="63">
      <c r="A63" t="inlineStr">
        <is>
          <t>Annual change in diluted shares</t>
        </is>
      </c>
      <c r="B63" s="27" t="n">
        <v>0</v>
      </c>
      <c r="C63" t="inlineStr">
        <is>
          <t>net of buybacks and stock-comp dilution</t>
        </is>
      </c>
    </row>
    <row r="64">
      <c r="A64" t="inlineStr">
        <is>
          <t>Shares at target date (override; blank = from annual change)</t>
        </is>
      </c>
      <c r="B64" s="37" t="n">
        <v>575</v>
      </c>
      <c r="C64" t="inlineStr"/>
    </row>
    <row r="65">
      <c r="A65" t="inlineStr">
        <is>
          <t>DCF weight</t>
        </is>
      </c>
      <c r="B65" s="27" t="n">
        <v>0</v>
      </c>
      <c r="C65" t="inlineStr"/>
    </row>
    <row r="66">
      <c r="A66" t="inlineStr">
        <is>
          <t>Sum-of-the-parts weight</t>
        </is>
      </c>
      <c r="B66" s="27" t="n">
        <v>0</v>
      </c>
      <c r="C66" t="inlineStr"/>
    </row>
    <row r="67">
      <c r="A67" t="inlineStr">
        <is>
          <t>Spread within each scenario (lognormal vol)</t>
        </is>
      </c>
      <c r="B67" s="27" t="n">
        <v>0.31</v>
      </c>
      <c r="C67" t="inlineStr"/>
    </row>
    <row r="68">
      <c r="A68" t="inlineStr">
        <is>
          <t>Share price at the run</t>
        </is>
      </c>
      <c r="B68" s="38" t="n">
        <v>78.69</v>
      </c>
      <c r="C68" t="inlineStr">
        <is>
          <t>close used by the run (2026-09-25)</t>
        </is>
      </c>
    </row>
    <row r="70">
      <c r="A70" s="3" t="inlineStr">
        <is>
          <t>Target multiple</t>
        </is>
      </c>
      <c r="B70" s="3" t="inlineStr">
        <is>
          <t>Multiple</t>
        </is>
      </c>
      <c r="C70" s="3" t="inlineStr">
        <is>
          <t>Weight</t>
        </is>
      </c>
      <c r="D70" s="3" t="inlineStr">
        <is>
          <t>Basis (ntm / ltm)</t>
        </is>
      </c>
      <c r="E70" s="3" t="inlineStr">
        <is>
          <t>EBITDA basis</t>
        </is>
      </c>
      <c r="F70" s="3" t="inlineStr">
        <is>
          <t>Stated EPS</t>
        </is>
      </c>
      <c r="G70" s="3" t="inlineStr">
        <is>
          <t>Stated FCF/share</t>
        </is>
      </c>
      <c r="H70" s="3" t="inlineStr">
        <is>
          <t>Levered</t>
        </is>
      </c>
      <c r="I70" s="3" t="inlineStr">
        <is>
          <t>Peer basis</t>
        </is>
      </c>
    </row>
    <row r="71">
      <c r="A71" s="35" t="inlineStr">
        <is>
          <t>P/E</t>
        </is>
      </c>
      <c r="B71" s="36" t="n">
        <v>18.75</v>
      </c>
      <c r="C71" s="27" t="n">
        <v>0.5</v>
      </c>
      <c r="D71" s="35" t="inlineStr">
        <is>
          <t>ntm</t>
        </is>
      </c>
      <c r="E71" s="35" t="inlineStr">
        <is>
          <t>gaap</t>
        </is>
      </c>
      <c r="F71" s="39" t="n">
        <v>4.6</v>
      </c>
      <c r="G71" s="39" t="n"/>
      <c r="H71" s="35" t="b">
        <v>1</v>
      </c>
      <c r="I71" t="inlineStr">
        <is>
          <t>NTM P/E (citation gate rebuild at 2026-09-25 closes, estimate): NXPI ~13.7x, ON ~18.5x, TXN ~27.6x, ADI ~24.6x; MCHP ~19.1x NTM, 17.2x FY28 consensus. 18.75x sits at the top of the NXPI-ON range.</t>
        </is>
      </c>
    </row>
    <row r="72">
      <c r="A72" s="35" t="inlineStr">
        <is>
          <t>FCF yield</t>
        </is>
      </c>
      <c r="B72" s="27" t="n">
        <v>0.05</v>
      </c>
      <c r="C72" s="27" t="n">
        <v>0.3</v>
      </c>
      <c r="D72" s="35" t="inlineStr">
        <is>
          <t>ntm</t>
        </is>
      </c>
      <c r="E72" s="35" t="inlineStr">
        <is>
          <t>gaap</t>
        </is>
      </c>
      <c r="F72" s="39" t="n"/>
      <c r="G72" s="39" t="n">
        <v>4.26</v>
      </c>
      <c r="H72" s="35" t="b">
        <v>1</v>
      </c>
      <c r="I72" t="inlineStr">
        <is>
          <t>TTM FCF yield at 2026-09-25 closes (gate rebuild, estimate): NXPI 4.7%, ON 5.0%, TXN 2.1%, ADI 2.6%.</t>
        </is>
      </c>
    </row>
    <row r="73">
      <c r="A73" s="35" t="inlineStr">
        <is>
          <t>EV/EBITDA</t>
        </is>
      </c>
      <c r="B73" s="36" t="n">
        <v>16</v>
      </c>
      <c r="C73" s="27" t="n">
        <v>0.2</v>
      </c>
      <c r="D73" s="35" t="inlineStr">
        <is>
          <t>ntm</t>
        </is>
      </c>
      <c r="E73" s="35" t="inlineStr">
        <is>
          <t>adjusted</t>
        </is>
      </c>
      <c r="F73" s="39" t="n"/>
      <c r="G73" s="39" t="n"/>
      <c r="H73" s="35" t="b">
        <v>1</v>
      </c>
      <c r="I73" t="inlineStr">
        <is>
          <t>Trailing GAAP EV/EBITDA (gate rebuild, estimate): NXPI 13.6x, ON 21.0x, TXN ~27.6x, ADI 28.6x; 16x is the P/E-consistent multiple, not a peer median.</t>
        </is>
      </c>
    </row>
    <row r="75">
      <c r="A75" s="3" t="inlineStr">
        <is>
          <t>Segment (sum of the parts)</t>
        </is>
      </c>
      <c r="B75" s="3" t="inlineStr">
        <is>
          <t>NTM metric</t>
        </is>
      </c>
      <c r="C75" s="3" t="inlineStr">
        <is>
          <t>Metric</t>
        </is>
      </c>
      <c r="D75" s="3" t="inlineStr">
        <is>
          <t>Multiple</t>
        </is>
      </c>
      <c r="E75" s="3" t="inlineStr">
        <is>
          <t>Note</t>
        </is>
      </c>
    </row>
    <row r="76">
      <c r="A76" s="11" t="inlineStr">
        <is>
          <t>none</t>
        </is>
      </c>
    </row>
    <row r="78">
      <c r="A78" s="3" t="inlineStr">
        <is>
          <t>Adjustment (equity level)</t>
        </is>
      </c>
      <c r="B78" s="3" t="inlineStr">
        <is>
          <t>Value</t>
        </is>
      </c>
      <c r="C78" s="3" t="inlineStr">
        <is>
          <t>Probability</t>
        </is>
      </c>
      <c r="D78" s="3" t="inlineStr">
        <is>
          <t>Note</t>
        </is>
      </c>
    </row>
    <row r="79">
      <c r="A79" s="11" t="inlineStr">
        <is>
          <t>none</t>
        </is>
      </c>
    </row>
    <row r="81">
      <c r="A81" s="3" t="inlineStr">
        <is>
          <t>Custom method</t>
        </is>
      </c>
      <c r="B81" s="3" t="inlineStr">
        <is>
          <t>Value per share</t>
        </is>
      </c>
      <c r="C81" s="3" t="inlineStr">
        <is>
          <t>Weight</t>
        </is>
      </c>
      <c r="D81" s="3" t="inlineStr">
        <is>
          <t>Explanation</t>
        </is>
      </c>
    </row>
    <row r="82">
      <c r="A82" s="11" t="inlineStr">
        <is>
          <t>none</t>
        </is>
      </c>
    </row>
    <row r="84">
      <c r="A84" s="3" t="inlineStr">
        <is>
          <t>Scenario</t>
        </is>
      </c>
      <c r="B84" s="3" t="inlineStr">
        <is>
          <t>Probability</t>
        </is>
      </c>
      <c r="C84" s="3" t="inlineStr">
        <is>
          <t>Growth Δ</t>
        </is>
      </c>
      <c r="D84" s="3" t="inlineStr">
        <is>
          <t>Margin Δ</t>
        </is>
      </c>
      <c r="E84" s="3" t="inlineStr">
        <is>
          <t>Multiple Δ (turns)</t>
        </is>
      </c>
      <c r="F84" s="3" t="inlineStr">
        <is>
          <t>WACC Δ</t>
        </is>
      </c>
      <c r="G84" s="3" t="inlineStr">
        <is>
          <t>Multiple %Δ (FCF yield, segments)</t>
        </is>
      </c>
      <c r="H84" s="3" t="inlineStr">
        <is>
          <t>Stated EPS/FCF %Δ</t>
        </is>
      </c>
      <c r="I84" s="3" t="inlineStr">
        <is>
          <t>Custom methods %Δ</t>
        </is>
      </c>
      <c r="J84" s="3" t="inlineStr">
        <is>
          <t>Story</t>
        </is>
      </c>
    </row>
    <row r="85">
      <c r="A85" t="inlineStr">
        <is>
          <t>bear</t>
        </is>
      </c>
      <c r="B85" s="27" t="n">
        <v>0.2</v>
      </c>
      <c r="C85" s="27" t="n"/>
      <c r="D85" s="27" t="n">
        <v>-0.0978</v>
      </c>
      <c r="E85" s="40" t="n">
        <v>-3.5</v>
      </c>
      <c r="F85" s="27" t="n"/>
      <c r="G85" s="27" t="n">
        <v>-0.2295</v>
      </c>
      <c r="H85" s="27" t="n">
        <v>-0.2444</v>
      </c>
      <c r="I85" s="27" t="n"/>
      <c r="J85" s="41" t="inlineStr">
        <is>
          <t>Forecasters' common bear (supervisor: "Agreed", bear weight 20-22% at $52): the upcycle peaks around mid-2027, near the horizon, as the market prices FY29; book-to-bill below 1, GM back toward ~61-62%, distributor inventory rebuilding from 25 days, semis derate with 10-yr yields above 5%; below ~$62.5 the mandatory convertible adds dilution. Deltas are the forecasters' medians (EPS -24.4%, -3.5 turns).</t>
        </is>
      </c>
    </row>
    <row r="86">
      <c r="A86" t="inlineStr">
        <is>
          <t>base</t>
        </is>
      </c>
      <c r="B86" s="27" t="n">
        <v>0.55</v>
      </c>
      <c r="C86" s="27" t="n"/>
      <c r="D86" s="27" t="n"/>
      <c r="E86" s="40" t="n"/>
      <c r="F86" s="27" t="n"/>
      <c r="G86" s="27" t="n"/>
      <c r="H86" s="27" t="n"/>
      <c r="I86" s="27" t="n"/>
      <c r="J86" s="41" t="inlineStr">
        <is>
          <t>Recovery continues at a slowing rate: FY28 revenue ~$7.4B, GM 65-66%, op margin ~40%, NTM EPS ~$4.55-4.65 at ~18.5-19x, net debt ~$3.8B by Sep-2027, dividend continues, no buybacks yet. No deltas (the reconciled set is the base case).</t>
        </is>
      </c>
    </row>
    <row r="87">
      <c r="A87" t="inlineStr">
        <is>
          <t>bull</t>
        </is>
      </c>
      <c r="B87" s="27" t="n">
        <v>0.25</v>
      </c>
      <c r="C87" s="27" t="n"/>
      <c r="D87" s="27" t="n">
        <v>0.06809999999999999</v>
      </c>
      <c r="E87" s="40" t="n">
        <v>3.5</v>
      </c>
      <c r="F87" s="27" t="n"/>
      <c r="G87" s="27" t="n">
        <v>0.1573</v>
      </c>
      <c r="H87" s="27" t="n">
        <v>0.1702</v>
      </c>
      <c r="I87" s="27" t="n"/>
      <c r="J87" s="41" t="inlineStr">
        <is>
          <t>Extended cycle: data center / PCIe Gen6, Hailo edge AI, industrial and A&amp;D strength; pricing sticks, NTM EPS ~$5.2-5.7, deleveraging reopens buybacks and semis re-rate to ~21-23.5x. Deltas are the forecasters' medians (EPS +17.0%, +3.5 turns).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MCHP: sensitivity tables (bold = current inputs; every cell recalculates from the live model)</t>
        </is>
      </c>
    </row>
    <row r="3">
      <c r="A3" s="17" t="inlineStr">
        <is>
          <t>DCF value per share: WACC (down) x terminal growth (across)</t>
        </is>
      </c>
    </row>
    <row r="4">
      <c r="A4" s="17" t="inlineStr">
        <is>
          <t>WACC \ growth</t>
        </is>
      </c>
      <c r="B4" s="7">
        <f>Valuation!$B$54+(-0.01)</f>
        <v/>
      </c>
      <c r="C4" s="7">
        <f>Valuation!$B$54+(-0.005)</f>
        <v/>
      </c>
      <c r="D4" s="7">
        <f>Valuation!$B$54+(0)</f>
        <v/>
      </c>
      <c r="E4" s="7">
        <f>Valuation!$B$54+(0.005)</f>
        <v/>
      </c>
      <c r="F4" s="7">
        <f>Valuation!$B$54+(0.01)</f>
        <v/>
      </c>
    </row>
    <row r="5">
      <c r="A5" s="7">
        <f>Valuation!$B$52+(-0.01)</f>
        <v/>
      </c>
      <c r="B5" s="9">
        <f>IF($A5-B$4&lt;=0.01,"n/a",((SUMPRODUCT('Calc - fair value'!$C$31:$E$31,'Calc - fair value'!$C$35:$E$35,(1+$A5)^(-('Calc - fair value'!$C$19:$E$19-'Calc - fair value'!$B$13)))+'Calc - fair value'!$E$31*(1+B$4)/($A5-B$4)/(1+$A5)^('Calc - fair value'!$B$16-'Calc - fair value'!$B$13))-'Calc - fair value'!$B$50-'Calc - fair value'!$B$51+'Calc - fair value'!$B$52)/'Calc - fair value'!$B$53)</f>
        <v/>
      </c>
      <c r="C5" s="9">
        <f>IF($A5-C$4&lt;=0.01,"n/a",((SUMPRODUCT('Calc - fair value'!$C$31:$E$31,'Calc - fair value'!$C$35:$E$35,(1+$A5)^(-('Calc - fair value'!$C$19:$E$19-'Calc - fair value'!$B$13)))+'Calc - fair value'!$E$31*(1+C$4)/($A5-C$4)/(1+$A5)^('Calc - fair value'!$B$16-'Calc - fair value'!$B$13))-'Calc - fair value'!$B$50-'Calc - fair value'!$B$51+'Calc - fair value'!$B$52)/'Calc - fair value'!$B$53)</f>
        <v/>
      </c>
      <c r="D5" s="9">
        <f>IF($A5-D$4&lt;=0.01,"n/a",((SUMPRODUCT('Calc - fair value'!$C$31:$E$31,'Calc - fair value'!$C$35:$E$35,(1+$A5)^(-('Calc - fair value'!$C$19:$E$19-'Calc - fair value'!$B$13)))+'Calc - fair value'!$E$31*(1+D$4)/($A5-D$4)/(1+$A5)^('Calc - fair value'!$B$16-'Calc - fair value'!$B$13))-'Calc - fair value'!$B$50-'Calc - fair value'!$B$51+'Calc - fair value'!$B$52)/'Calc - fair value'!$B$53)</f>
        <v/>
      </c>
      <c r="E5" s="9">
        <f>IF($A5-E$4&lt;=0.01,"n/a",((SUMPRODUCT('Calc - fair value'!$C$31:$E$31,'Calc - fair value'!$C$35:$E$35,(1+$A5)^(-('Calc - fair value'!$C$19:$E$19-'Calc - fair value'!$B$13)))+'Calc - fair value'!$E$31*(1+E$4)/($A5-E$4)/(1+$A5)^('Calc - fair value'!$B$16-'Calc - fair value'!$B$13))-'Calc - fair value'!$B$50-'Calc - fair value'!$B$51+'Calc - fair value'!$B$52)/'Calc - fair value'!$B$53)</f>
        <v/>
      </c>
      <c r="F5" s="9">
        <f>IF($A5-F$4&lt;=0.01,"n/a",((SUMPRODUCT('Calc - fair value'!$C$31:$E$31,'Calc - fair value'!$C$35:$E$35,(1+$A5)^(-('Calc - fair value'!$C$19:$E$19-'Calc - fair value'!$B$13)))+'Calc - fair value'!$E$31*(1+F$4)/($A5-F$4)/(1+$A5)^('Calc - fair value'!$B$16-'Calc - fair value'!$B$13))-'Calc - fair value'!$B$50-'Calc - fair value'!$B$51+'Calc - fair value'!$B$52)/'Calc - fair value'!$B$53)</f>
        <v/>
      </c>
    </row>
    <row r="6">
      <c r="A6" s="7">
        <f>Valuation!$B$52+(-0.005)</f>
        <v/>
      </c>
      <c r="B6" s="9">
        <f>IF($A6-B$4&lt;=0.01,"n/a",((SUMPRODUCT('Calc - fair value'!$C$31:$E$31,'Calc - fair value'!$C$35:$E$35,(1+$A6)^(-('Calc - fair value'!$C$19:$E$19-'Calc - fair value'!$B$13)))+'Calc - fair value'!$E$31*(1+B$4)/($A6-B$4)/(1+$A6)^('Calc - fair value'!$B$16-'Calc - fair value'!$B$13))-'Calc - fair value'!$B$50-'Calc - fair value'!$B$51+'Calc - fair value'!$B$52)/'Calc - fair value'!$B$53)</f>
        <v/>
      </c>
      <c r="C6" s="9">
        <f>IF($A6-C$4&lt;=0.01,"n/a",((SUMPRODUCT('Calc - fair value'!$C$31:$E$31,'Calc - fair value'!$C$35:$E$35,(1+$A6)^(-('Calc - fair value'!$C$19:$E$19-'Calc - fair value'!$B$13)))+'Calc - fair value'!$E$31*(1+C$4)/($A6-C$4)/(1+$A6)^('Calc - fair value'!$B$16-'Calc - fair value'!$B$13))-'Calc - fair value'!$B$50-'Calc - fair value'!$B$51+'Calc - fair value'!$B$52)/'Calc - fair value'!$B$53)</f>
        <v/>
      </c>
      <c r="D6" s="9">
        <f>IF($A6-D$4&lt;=0.01,"n/a",((SUMPRODUCT('Calc - fair value'!$C$31:$E$31,'Calc - fair value'!$C$35:$E$35,(1+$A6)^(-('Calc - fair value'!$C$19:$E$19-'Calc - fair value'!$B$13)))+'Calc - fair value'!$E$31*(1+D$4)/($A6-D$4)/(1+$A6)^('Calc - fair value'!$B$16-'Calc - fair value'!$B$13))-'Calc - fair value'!$B$50-'Calc - fair value'!$B$51+'Calc - fair value'!$B$52)/'Calc - fair value'!$B$53)</f>
        <v/>
      </c>
      <c r="E6" s="9">
        <f>IF($A6-E$4&lt;=0.01,"n/a",((SUMPRODUCT('Calc - fair value'!$C$31:$E$31,'Calc - fair value'!$C$35:$E$35,(1+$A6)^(-('Calc - fair value'!$C$19:$E$19-'Calc - fair value'!$B$13)))+'Calc - fair value'!$E$31*(1+E$4)/($A6-E$4)/(1+$A6)^('Calc - fair value'!$B$16-'Calc - fair value'!$B$13))-'Calc - fair value'!$B$50-'Calc - fair value'!$B$51+'Calc - fair value'!$B$52)/'Calc - fair value'!$B$53)</f>
        <v/>
      </c>
      <c r="F6" s="9">
        <f>IF($A6-F$4&lt;=0.01,"n/a",((SUMPRODUCT('Calc - fair value'!$C$31:$E$31,'Calc - fair value'!$C$35:$E$35,(1+$A6)^(-('Calc - fair value'!$C$19:$E$19-'Calc - fair value'!$B$13)))+'Calc - fair value'!$E$31*(1+F$4)/($A6-F$4)/(1+$A6)^('Calc - fair value'!$B$16-'Calc - fair value'!$B$13))-'Calc - fair value'!$B$50-'Calc - fair value'!$B$51+'Calc - fair value'!$B$52)/'Calc - fair value'!$B$53)</f>
        <v/>
      </c>
    </row>
    <row r="7">
      <c r="A7" s="7">
        <f>Valuation!$B$52+(0)</f>
        <v/>
      </c>
      <c r="B7" s="9">
        <f>IF($A7-B$4&lt;=0.01,"n/a",((SUMPRODUCT('Calc - fair value'!$C$31:$E$31,'Calc - fair value'!$C$35:$E$35,(1+$A7)^(-('Calc - fair value'!$C$19:$E$19-'Calc - fair value'!$B$13)))+'Calc - fair value'!$E$31*(1+B$4)/($A7-B$4)/(1+$A7)^('Calc - fair value'!$B$16-'Calc - fair value'!$B$13))-'Calc - fair value'!$B$50-'Calc - fair value'!$B$51+'Calc - fair value'!$B$52)/'Calc - fair value'!$B$53)</f>
        <v/>
      </c>
      <c r="C7" s="9">
        <f>IF($A7-C$4&lt;=0.01,"n/a",((SUMPRODUCT('Calc - fair value'!$C$31:$E$31,'Calc - fair value'!$C$35:$E$35,(1+$A7)^(-('Calc - fair value'!$C$19:$E$19-'Calc - fair value'!$B$13)))+'Calc - fair value'!$E$31*(1+C$4)/($A7-C$4)/(1+$A7)^('Calc - fair value'!$B$16-'Calc - fair value'!$B$13))-'Calc - fair value'!$B$50-'Calc - fair value'!$B$51+'Calc - fair value'!$B$52)/'Calc - fair value'!$B$53)</f>
        <v/>
      </c>
      <c r="D7" s="6">
        <f>IF($A7-D$4&lt;=0.01,"n/a",((SUMPRODUCT('Calc - fair value'!$C$31:$E$31,'Calc - fair value'!$C$35:$E$35,(1+$A7)^(-('Calc - fair value'!$C$19:$E$19-'Calc - fair value'!$B$13)))+'Calc - fair value'!$E$31*(1+D$4)/($A7-D$4)/(1+$A7)^('Calc - fair value'!$B$16-'Calc - fair value'!$B$13))-'Calc - fair value'!$B$50-'Calc - fair value'!$B$51+'Calc - fair value'!$B$52)/'Calc - fair value'!$B$53)</f>
        <v/>
      </c>
      <c r="E7" s="9">
        <f>IF($A7-E$4&lt;=0.01,"n/a",((SUMPRODUCT('Calc - fair value'!$C$31:$E$31,'Calc - fair value'!$C$35:$E$35,(1+$A7)^(-('Calc - fair value'!$C$19:$E$19-'Calc - fair value'!$B$13)))+'Calc - fair value'!$E$31*(1+E$4)/($A7-E$4)/(1+$A7)^('Calc - fair value'!$B$16-'Calc - fair value'!$B$13))-'Calc - fair value'!$B$50-'Calc - fair value'!$B$51+'Calc - fair value'!$B$52)/'Calc - fair value'!$B$53)</f>
        <v/>
      </c>
      <c r="F7" s="9">
        <f>IF($A7-F$4&lt;=0.01,"n/a",((SUMPRODUCT('Calc - fair value'!$C$31:$E$31,'Calc - fair value'!$C$35:$E$35,(1+$A7)^(-('Calc - fair value'!$C$19:$E$19-'Calc - fair value'!$B$13)))+'Calc - fair value'!$E$31*(1+F$4)/($A7-F$4)/(1+$A7)^('Calc - fair value'!$B$16-'Calc - fair value'!$B$13))-'Calc - fair value'!$B$50-'Calc - fair value'!$B$51+'Calc - fair value'!$B$52)/'Calc - fair value'!$B$53)</f>
        <v/>
      </c>
    </row>
    <row r="8">
      <c r="A8" s="7">
        <f>Valuation!$B$52+(0.005)</f>
        <v/>
      </c>
      <c r="B8" s="9">
        <f>IF($A8-B$4&lt;=0.01,"n/a",((SUMPRODUCT('Calc - fair value'!$C$31:$E$31,'Calc - fair value'!$C$35:$E$35,(1+$A8)^(-('Calc - fair value'!$C$19:$E$19-'Calc - fair value'!$B$13)))+'Calc - fair value'!$E$31*(1+B$4)/($A8-B$4)/(1+$A8)^('Calc - fair value'!$B$16-'Calc - fair value'!$B$13))-'Calc - fair value'!$B$50-'Calc - fair value'!$B$51+'Calc - fair value'!$B$52)/'Calc - fair value'!$B$53)</f>
        <v/>
      </c>
      <c r="C8" s="9">
        <f>IF($A8-C$4&lt;=0.01,"n/a",((SUMPRODUCT('Calc - fair value'!$C$31:$E$31,'Calc - fair value'!$C$35:$E$35,(1+$A8)^(-('Calc - fair value'!$C$19:$E$19-'Calc - fair value'!$B$13)))+'Calc - fair value'!$E$31*(1+C$4)/($A8-C$4)/(1+$A8)^('Calc - fair value'!$B$16-'Calc - fair value'!$B$13))-'Calc - fair value'!$B$50-'Calc - fair value'!$B$51+'Calc - fair value'!$B$52)/'Calc - fair value'!$B$53)</f>
        <v/>
      </c>
      <c r="D8" s="9">
        <f>IF($A8-D$4&lt;=0.01,"n/a",((SUMPRODUCT('Calc - fair value'!$C$31:$E$31,'Calc - fair value'!$C$35:$E$35,(1+$A8)^(-('Calc - fair value'!$C$19:$E$19-'Calc - fair value'!$B$13)))+'Calc - fair value'!$E$31*(1+D$4)/($A8-D$4)/(1+$A8)^('Calc - fair value'!$B$16-'Calc - fair value'!$B$13))-'Calc - fair value'!$B$50-'Calc - fair value'!$B$51+'Calc - fair value'!$B$52)/'Calc - fair value'!$B$53)</f>
        <v/>
      </c>
      <c r="E8" s="9">
        <f>IF($A8-E$4&lt;=0.01,"n/a",((SUMPRODUCT('Calc - fair value'!$C$31:$E$31,'Calc - fair value'!$C$35:$E$35,(1+$A8)^(-('Calc - fair value'!$C$19:$E$19-'Calc - fair value'!$B$13)))+'Calc - fair value'!$E$31*(1+E$4)/($A8-E$4)/(1+$A8)^('Calc - fair value'!$B$16-'Calc - fair value'!$B$13))-'Calc - fair value'!$B$50-'Calc - fair value'!$B$51+'Calc - fair value'!$B$52)/'Calc - fair value'!$B$53)</f>
        <v/>
      </c>
      <c r="F8" s="9">
        <f>IF($A8-F$4&lt;=0.01,"n/a",((SUMPRODUCT('Calc - fair value'!$C$31:$E$31,'Calc - fair value'!$C$35:$E$35,(1+$A8)^(-('Calc - fair value'!$C$19:$E$19-'Calc - fair value'!$B$13)))+'Calc - fair value'!$E$31*(1+F$4)/($A8-F$4)/(1+$A8)^('Calc - fair value'!$B$16-'Calc - fair value'!$B$13))-'Calc - fair value'!$B$50-'Calc - fair value'!$B$51+'Calc - fair value'!$B$52)/'Calc - fair value'!$B$53)</f>
        <v/>
      </c>
    </row>
    <row r="9">
      <c r="A9" s="7">
        <f>Valuation!$B$52+(0.01)</f>
        <v/>
      </c>
      <c r="B9" s="9">
        <f>IF($A9-B$4&lt;=0.01,"n/a",((SUMPRODUCT('Calc - fair value'!$C$31:$E$31,'Calc - fair value'!$C$35:$E$35,(1+$A9)^(-('Calc - fair value'!$C$19:$E$19-'Calc - fair value'!$B$13)))+'Calc - fair value'!$E$31*(1+B$4)/($A9-B$4)/(1+$A9)^('Calc - fair value'!$B$16-'Calc - fair value'!$B$13))-'Calc - fair value'!$B$50-'Calc - fair value'!$B$51+'Calc - fair value'!$B$52)/'Calc - fair value'!$B$53)</f>
        <v/>
      </c>
      <c r="C9" s="9">
        <f>IF($A9-C$4&lt;=0.01,"n/a",((SUMPRODUCT('Calc - fair value'!$C$31:$E$31,'Calc - fair value'!$C$35:$E$35,(1+$A9)^(-('Calc - fair value'!$C$19:$E$19-'Calc - fair value'!$B$13)))+'Calc - fair value'!$E$31*(1+C$4)/($A9-C$4)/(1+$A9)^('Calc - fair value'!$B$16-'Calc - fair value'!$B$13))-'Calc - fair value'!$B$50-'Calc - fair value'!$B$51+'Calc - fair value'!$B$52)/'Calc - fair value'!$B$53)</f>
        <v/>
      </c>
      <c r="D9" s="9">
        <f>IF($A9-D$4&lt;=0.01,"n/a",((SUMPRODUCT('Calc - fair value'!$C$31:$E$31,'Calc - fair value'!$C$35:$E$35,(1+$A9)^(-('Calc - fair value'!$C$19:$E$19-'Calc - fair value'!$B$13)))+'Calc - fair value'!$E$31*(1+D$4)/($A9-D$4)/(1+$A9)^('Calc - fair value'!$B$16-'Calc - fair value'!$B$13))-'Calc - fair value'!$B$50-'Calc - fair value'!$B$51+'Calc - fair value'!$B$52)/'Calc - fair value'!$B$53)</f>
        <v/>
      </c>
      <c r="E9" s="9">
        <f>IF($A9-E$4&lt;=0.01,"n/a",((SUMPRODUCT('Calc - fair value'!$C$31:$E$31,'Calc - fair value'!$C$35:$E$35,(1+$A9)^(-('Calc - fair value'!$C$19:$E$19-'Calc - fair value'!$B$13)))+'Calc - fair value'!$E$31*(1+E$4)/($A9-E$4)/(1+$A9)^('Calc - fair value'!$B$16-'Calc - fair value'!$B$13))-'Calc - fair value'!$B$50-'Calc - fair value'!$B$51+'Calc - fair value'!$B$52)/'Calc - fair value'!$B$53)</f>
        <v/>
      </c>
      <c r="F9" s="9">
        <f>IF($A9-F$4&lt;=0.01,"n/a",((SUMPRODUCT('Calc - fair value'!$C$31:$E$31,'Calc - fair value'!$C$35:$E$35,(1+$A9)^(-('Calc - fair value'!$C$19:$E$19-'Calc - fair value'!$B$13)))+'Calc - fair value'!$E$31*(1+F$4)/($A9-F$4)/(1+$A9)^('Calc - fair value'!$B$16-'Calc - fair value'!$B$13))-'Calc - fair value'!$B$50-'Calc - fair value'!$B$51+'Calc - fair value'!$B$52)/'Calc - fair value'!$B$53)</f>
        <v/>
      </c>
    </row>
    <row r="11">
      <c r="A11" s="17" t="inlineStr">
        <is>
          <t>Fair value per share: P/E multiple (down) x stated EPS (across)</t>
        </is>
      </c>
    </row>
    <row r="12">
      <c r="A12" s="17" t="inlineStr">
        <is>
          <t>Multiple \ metric</t>
        </is>
      </c>
      <c r="B12" s="26">
        <f>Valuation!F71*0.9</f>
        <v/>
      </c>
      <c r="C12" s="26">
        <f>Valuation!F71*0.95</f>
        <v/>
      </c>
      <c r="D12" s="26">
        <f>Valuation!F71*1.0</f>
        <v/>
      </c>
      <c r="E12" s="26">
        <f>Valuation!F71*1.05</f>
        <v/>
      </c>
      <c r="F12" s="26">
        <f>Valuation!F71*1.1</f>
        <v/>
      </c>
    </row>
    <row r="13">
      <c r="A13" s="42">
        <f>Valuation!$B$71+(-3)</f>
        <v/>
      </c>
      <c r="B13" s="9">
        <f>((SUMPRODUCT('Calc - fair value'!$F$67:$F$70,'Calc - fair value'!$G$67:$G$70)-'Calc - fair value'!$F$68*'Calc - fair value'!$G$68)+'Calc - fair value'!$G$68*($A13*B$12+'Calc - fair value'!$B$52/'Calc - fair value'!$B$53))/SUM('Calc - fair value'!$G$67:$G$70)</f>
        <v/>
      </c>
      <c r="C13" s="9">
        <f>((SUMPRODUCT('Calc - fair value'!$F$67:$F$70,'Calc - fair value'!$G$67:$G$70)-'Calc - fair value'!$F$68*'Calc - fair value'!$G$68)+'Calc - fair value'!$G$68*($A13*C$12+'Calc - fair value'!$B$52/'Calc - fair value'!$B$53))/SUM('Calc - fair value'!$G$67:$G$70)</f>
        <v/>
      </c>
      <c r="D13" s="9">
        <f>((SUMPRODUCT('Calc - fair value'!$F$67:$F$70,'Calc - fair value'!$G$67:$G$70)-'Calc - fair value'!$F$68*'Calc - fair value'!$G$68)+'Calc - fair value'!$G$68*($A13*D$12+'Calc - fair value'!$B$52/'Calc - fair value'!$B$53))/SUM('Calc - fair value'!$G$67:$G$70)</f>
        <v/>
      </c>
      <c r="E13" s="9">
        <f>((SUMPRODUCT('Calc - fair value'!$F$67:$F$70,'Calc - fair value'!$G$67:$G$70)-'Calc - fair value'!$F$68*'Calc - fair value'!$G$68)+'Calc - fair value'!$G$68*($A13*E$12+'Calc - fair value'!$B$52/'Calc - fair value'!$B$53))/SUM('Calc - fair value'!$G$67:$G$70)</f>
        <v/>
      </c>
      <c r="F13" s="9">
        <f>((SUMPRODUCT('Calc - fair value'!$F$67:$F$70,'Calc - fair value'!$G$67:$G$70)-'Calc - fair value'!$F$68*'Calc - fair value'!$G$68)+'Calc - fair value'!$G$68*($A13*F$12+'Calc - fair value'!$B$52/'Calc - fair value'!$B$53))/SUM('Calc - fair value'!$G$67:$G$70)</f>
        <v/>
      </c>
    </row>
    <row r="14">
      <c r="A14" s="42">
        <f>Valuation!$B$71+(-2)</f>
        <v/>
      </c>
      <c r="B14" s="9">
        <f>((SUMPRODUCT('Calc - fair value'!$F$67:$F$70,'Calc - fair value'!$G$67:$G$70)-'Calc - fair value'!$F$68*'Calc - fair value'!$G$68)+'Calc - fair value'!$G$68*($A14*B$12+'Calc - fair value'!$B$52/'Calc - fair value'!$B$53))/SUM('Calc - fair value'!$G$67:$G$70)</f>
        <v/>
      </c>
      <c r="C14" s="9">
        <f>((SUMPRODUCT('Calc - fair value'!$F$67:$F$70,'Calc - fair value'!$G$67:$G$70)-'Calc - fair value'!$F$68*'Calc - fair value'!$G$68)+'Calc - fair value'!$G$68*($A14*C$12+'Calc - fair value'!$B$52/'Calc - fair value'!$B$53))/SUM('Calc - fair value'!$G$67:$G$70)</f>
        <v/>
      </c>
      <c r="D14" s="9">
        <f>((SUMPRODUCT('Calc - fair value'!$F$67:$F$70,'Calc - fair value'!$G$67:$G$70)-'Calc - fair value'!$F$68*'Calc - fair value'!$G$68)+'Calc - fair value'!$G$68*($A14*D$12+'Calc - fair value'!$B$52/'Calc - fair value'!$B$53))/SUM('Calc - fair value'!$G$67:$G$70)</f>
        <v/>
      </c>
      <c r="E14" s="9">
        <f>((SUMPRODUCT('Calc - fair value'!$F$67:$F$70,'Calc - fair value'!$G$67:$G$70)-'Calc - fair value'!$F$68*'Calc - fair value'!$G$68)+'Calc - fair value'!$G$68*($A14*E$12+'Calc - fair value'!$B$52/'Calc - fair value'!$B$53))/SUM('Calc - fair value'!$G$67:$G$70)</f>
        <v/>
      </c>
      <c r="F14" s="9">
        <f>((SUMPRODUCT('Calc - fair value'!$F$67:$F$70,'Calc - fair value'!$G$67:$G$70)-'Calc - fair value'!$F$68*'Calc - fair value'!$G$68)+'Calc - fair value'!$G$68*($A14*F$12+'Calc - fair value'!$B$52/'Calc - fair value'!$B$53))/SUM('Calc - fair value'!$G$67:$G$70)</f>
        <v/>
      </c>
    </row>
    <row r="15">
      <c r="A15" s="42">
        <f>Valuation!$B$71+(-1)</f>
        <v/>
      </c>
      <c r="B15" s="9">
        <f>((SUMPRODUCT('Calc - fair value'!$F$67:$F$70,'Calc - fair value'!$G$67:$G$70)-'Calc - fair value'!$F$68*'Calc - fair value'!$G$68)+'Calc - fair value'!$G$68*($A15*B$12+'Calc - fair value'!$B$52/'Calc - fair value'!$B$53))/SUM('Calc - fair value'!$G$67:$G$70)</f>
        <v/>
      </c>
      <c r="C15" s="9">
        <f>((SUMPRODUCT('Calc - fair value'!$F$67:$F$70,'Calc - fair value'!$G$67:$G$70)-'Calc - fair value'!$F$68*'Calc - fair value'!$G$68)+'Calc - fair value'!$G$68*($A15*C$12+'Calc - fair value'!$B$52/'Calc - fair value'!$B$53))/SUM('Calc - fair value'!$G$67:$G$70)</f>
        <v/>
      </c>
      <c r="D15" s="9">
        <f>((SUMPRODUCT('Calc - fair value'!$F$67:$F$70,'Calc - fair value'!$G$67:$G$70)-'Calc - fair value'!$F$68*'Calc - fair value'!$G$68)+'Calc - fair value'!$G$68*($A15*D$12+'Calc - fair value'!$B$52/'Calc - fair value'!$B$53))/SUM('Calc - fair value'!$G$67:$G$70)</f>
        <v/>
      </c>
      <c r="E15" s="9">
        <f>((SUMPRODUCT('Calc - fair value'!$F$67:$F$70,'Calc - fair value'!$G$67:$G$70)-'Calc - fair value'!$F$68*'Calc - fair value'!$G$68)+'Calc - fair value'!$G$68*($A15*E$12+'Calc - fair value'!$B$52/'Calc - fair value'!$B$53))/SUM('Calc - fair value'!$G$67:$G$70)</f>
        <v/>
      </c>
      <c r="F15" s="9">
        <f>((SUMPRODUCT('Calc - fair value'!$F$67:$F$70,'Calc - fair value'!$G$67:$G$70)-'Calc - fair value'!$F$68*'Calc - fair value'!$G$68)+'Calc - fair value'!$G$68*($A15*F$12+'Calc - fair value'!$B$52/'Calc - fair value'!$B$53))/SUM('Calc - fair value'!$G$67:$G$70)</f>
        <v/>
      </c>
    </row>
    <row r="16">
      <c r="A16" s="42">
        <f>Valuation!$B$71+(0)</f>
        <v/>
      </c>
      <c r="B16" s="9">
        <f>((SUMPRODUCT('Calc - fair value'!$F$67:$F$70,'Calc - fair value'!$G$67:$G$70)-'Calc - fair value'!$F$68*'Calc - fair value'!$G$68)+'Calc - fair value'!$G$68*($A16*B$12+'Calc - fair value'!$B$52/'Calc - fair value'!$B$53))/SUM('Calc - fair value'!$G$67:$G$70)</f>
        <v/>
      </c>
      <c r="C16" s="9">
        <f>((SUMPRODUCT('Calc - fair value'!$F$67:$F$70,'Calc - fair value'!$G$67:$G$70)-'Calc - fair value'!$F$68*'Calc - fair value'!$G$68)+'Calc - fair value'!$G$68*($A16*C$12+'Calc - fair value'!$B$52/'Calc - fair value'!$B$53))/SUM('Calc - fair value'!$G$67:$G$70)</f>
        <v/>
      </c>
      <c r="D16" s="6">
        <f>((SUMPRODUCT('Calc - fair value'!$F$67:$F$70,'Calc - fair value'!$G$67:$G$70)-'Calc - fair value'!$F$68*'Calc - fair value'!$G$68)+'Calc - fair value'!$G$68*($A16*D$12+'Calc - fair value'!$B$52/'Calc - fair value'!$B$53))/SUM('Calc - fair value'!$G$67:$G$70)</f>
        <v/>
      </c>
      <c r="E16" s="9">
        <f>((SUMPRODUCT('Calc - fair value'!$F$67:$F$70,'Calc - fair value'!$G$67:$G$70)-'Calc - fair value'!$F$68*'Calc - fair value'!$G$68)+'Calc - fair value'!$G$68*($A16*E$12+'Calc - fair value'!$B$52/'Calc - fair value'!$B$53))/SUM('Calc - fair value'!$G$67:$G$70)</f>
        <v/>
      </c>
      <c r="F16" s="9">
        <f>((SUMPRODUCT('Calc - fair value'!$F$67:$F$70,'Calc - fair value'!$G$67:$G$70)-'Calc - fair value'!$F$68*'Calc - fair value'!$G$68)+'Calc - fair value'!$G$68*($A16*F$12+'Calc - fair value'!$B$52/'Calc - fair value'!$B$53))/SUM('Calc - fair value'!$G$67:$G$70)</f>
        <v/>
      </c>
    </row>
    <row r="17">
      <c r="A17" s="42">
        <f>Valuation!$B$71+(1)</f>
        <v/>
      </c>
      <c r="B17" s="9">
        <f>((SUMPRODUCT('Calc - fair value'!$F$67:$F$70,'Calc - fair value'!$G$67:$G$70)-'Calc - fair value'!$F$68*'Calc - fair value'!$G$68)+'Calc - fair value'!$G$68*($A17*B$12+'Calc - fair value'!$B$52/'Calc - fair value'!$B$53))/SUM('Calc - fair value'!$G$67:$G$70)</f>
        <v/>
      </c>
      <c r="C17" s="9">
        <f>((SUMPRODUCT('Calc - fair value'!$F$67:$F$70,'Calc - fair value'!$G$67:$G$70)-'Calc - fair value'!$F$68*'Calc - fair value'!$G$68)+'Calc - fair value'!$G$68*($A17*C$12+'Calc - fair value'!$B$52/'Calc - fair value'!$B$53))/SUM('Calc - fair value'!$G$67:$G$70)</f>
        <v/>
      </c>
      <c r="D17" s="9">
        <f>((SUMPRODUCT('Calc - fair value'!$F$67:$F$70,'Calc - fair value'!$G$67:$G$70)-'Calc - fair value'!$F$68*'Calc - fair value'!$G$68)+'Calc - fair value'!$G$68*($A17*D$12+'Calc - fair value'!$B$52/'Calc - fair value'!$B$53))/SUM('Calc - fair value'!$G$67:$G$70)</f>
        <v/>
      </c>
      <c r="E17" s="9">
        <f>((SUMPRODUCT('Calc - fair value'!$F$67:$F$70,'Calc - fair value'!$G$67:$G$70)-'Calc - fair value'!$F$68*'Calc - fair value'!$G$68)+'Calc - fair value'!$G$68*($A17*E$12+'Calc - fair value'!$B$52/'Calc - fair value'!$B$53))/SUM('Calc - fair value'!$G$67:$G$70)</f>
        <v/>
      </c>
      <c r="F17" s="9">
        <f>((SUMPRODUCT('Calc - fair value'!$F$67:$F$70,'Calc - fair value'!$G$67:$G$70)-'Calc - fair value'!$F$68*'Calc - fair value'!$G$68)+'Calc - fair value'!$G$68*($A17*F$12+'Calc - fair value'!$B$52/'Calc - fair value'!$B$53))/SUM('Calc - fair value'!$G$67:$G$70)</f>
        <v/>
      </c>
    </row>
    <row r="18">
      <c r="A18" s="42">
        <f>Valuation!$B$71+(2)</f>
        <v/>
      </c>
      <c r="B18" s="9">
        <f>((SUMPRODUCT('Calc - fair value'!$F$67:$F$70,'Calc - fair value'!$G$67:$G$70)-'Calc - fair value'!$F$68*'Calc - fair value'!$G$68)+'Calc - fair value'!$G$68*($A18*B$12+'Calc - fair value'!$B$52/'Calc - fair value'!$B$53))/SUM('Calc - fair value'!$G$67:$G$70)</f>
        <v/>
      </c>
      <c r="C18" s="9">
        <f>((SUMPRODUCT('Calc - fair value'!$F$67:$F$70,'Calc - fair value'!$G$67:$G$70)-'Calc - fair value'!$F$68*'Calc - fair value'!$G$68)+'Calc - fair value'!$G$68*($A18*C$12+'Calc - fair value'!$B$52/'Calc - fair value'!$B$53))/SUM('Calc - fair value'!$G$67:$G$70)</f>
        <v/>
      </c>
      <c r="D18" s="9">
        <f>((SUMPRODUCT('Calc - fair value'!$F$67:$F$70,'Calc - fair value'!$G$67:$G$70)-'Calc - fair value'!$F$68*'Calc - fair value'!$G$68)+'Calc - fair value'!$G$68*($A18*D$12+'Calc - fair value'!$B$52/'Calc - fair value'!$B$53))/SUM('Calc - fair value'!$G$67:$G$70)</f>
        <v/>
      </c>
      <c r="E18" s="9">
        <f>((SUMPRODUCT('Calc - fair value'!$F$67:$F$70,'Calc - fair value'!$G$67:$G$70)-'Calc - fair value'!$F$68*'Calc - fair value'!$G$68)+'Calc - fair value'!$G$68*($A18*E$12+'Calc - fair value'!$B$52/'Calc - fair value'!$B$53))/SUM('Calc - fair value'!$G$67:$G$70)</f>
        <v/>
      </c>
      <c r="F18" s="9">
        <f>((SUMPRODUCT('Calc - fair value'!$F$67:$F$70,'Calc - fair value'!$G$67:$G$70)-'Calc - fair value'!$F$68*'Calc - fair value'!$G$68)+'Calc - fair value'!$G$68*($A18*F$12+'Calc - fair value'!$B$52/'Calc - fair value'!$B$53))/SUM('Calc - fair value'!$G$67:$G$70)</f>
        <v/>
      </c>
    </row>
    <row r="19">
      <c r="A19" s="42">
        <f>Valuation!$B$71+(3)</f>
        <v/>
      </c>
      <c r="B19" s="9">
        <f>((SUMPRODUCT('Calc - fair value'!$F$67:$F$70,'Calc - fair value'!$G$67:$G$70)-'Calc - fair value'!$F$68*'Calc - fair value'!$G$68)+'Calc - fair value'!$G$68*($A19*B$12+'Calc - fair value'!$B$52/'Calc - fair value'!$B$53))/SUM('Calc - fair value'!$G$67:$G$70)</f>
        <v/>
      </c>
      <c r="C19" s="9">
        <f>((SUMPRODUCT('Calc - fair value'!$F$67:$F$70,'Calc - fair value'!$G$67:$G$70)-'Calc - fair value'!$F$68*'Calc - fair value'!$G$68)+'Calc - fair value'!$G$68*($A19*C$12+'Calc - fair value'!$B$52/'Calc - fair value'!$B$53))/SUM('Calc - fair value'!$G$67:$G$70)</f>
        <v/>
      </c>
      <c r="D19" s="9">
        <f>((SUMPRODUCT('Calc - fair value'!$F$67:$F$70,'Calc - fair value'!$G$67:$G$70)-'Calc - fair value'!$F$68*'Calc - fair value'!$G$68)+'Calc - fair value'!$G$68*($A19*D$12+'Calc - fair value'!$B$52/'Calc - fair value'!$B$53))/SUM('Calc - fair value'!$G$67:$G$70)</f>
        <v/>
      </c>
      <c r="E19" s="9">
        <f>((SUMPRODUCT('Calc - fair value'!$F$67:$F$70,'Calc - fair value'!$G$67:$G$70)-'Calc - fair value'!$F$68*'Calc - fair value'!$G$68)+'Calc - fair value'!$G$68*($A19*E$12+'Calc - fair value'!$B$52/'Calc - fair value'!$B$53))/SUM('Calc - fair value'!$G$67:$G$70)</f>
        <v/>
      </c>
      <c r="F19" s="9">
        <f>((SUMPRODUCT('Calc - fair value'!$F$67:$F$70,'Calc - fair value'!$G$67:$G$70)-'Calc - fair value'!$F$68*'Calc - fair value'!$G$68)+'Calc - fair value'!$G$68*($A19*F$12+'Calc - fair value'!$B$52/'Calc - fair value'!$B$53))/SUM('Calc - fair value'!$G$67:$G$70)</f>
        <v/>
      </c>
    </row>
    <row r="22">
      <c r="A22" s="17" t="inlineStr">
        <is>
          <t>FY2028E diluted EPS: revenue growth change in every year (down) x EBIT margin change (across)</t>
        </is>
      </c>
    </row>
    <row r="23">
      <c r="A23" s="17" t="inlineStr">
        <is>
          <t>Growth Δ \ margin Δ</t>
        </is>
      </c>
      <c r="B23" s="43" t="n">
        <v>-0.01</v>
      </c>
      <c r="C23" s="43" t="n">
        <v>-0.005</v>
      </c>
      <c r="D23" s="43" t="n">
        <v>0</v>
      </c>
      <c r="E23" s="43" t="n">
        <v>0.005</v>
      </c>
      <c r="F23" s="43" t="n">
        <v>0.01</v>
      </c>
    </row>
    <row r="24">
      <c r="A24" s="43" t="n">
        <v>-0.02</v>
      </c>
      <c r="B24" s="25">
        <f>(Valuation!$B$51*(1+Model!E48+$A24)*(1+Model!F48+$A24)*(Model!F49+B$23)+Model!F20)*(1-Model!F50)/Model!F27</f>
        <v/>
      </c>
      <c r="C24" s="25">
        <f>(Valuation!$B$51*(1+Model!E48+$A24)*(1+Model!F48+$A24)*(Model!F49+C$23)+Model!F20)*(1-Model!F50)/Model!F27</f>
        <v/>
      </c>
      <c r="D24" s="25">
        <f>(Valuation!$B$51*(1+Model!E48+$A24)*(1+Model!F48+$A24)*(Model!F49+D$23)+Model!F20)*(1-Model!F50)/Model!F27</f>
        <v/>
      </c>
      <c r="E24" s="25">
        <f>(Valuation!$B$51*(1+Model!E48+$A24)*(1+Model!F48+$A24)*(Model!F49+E$23)+Model!F20)*(1-Model!F50)/Model!F27</f>
        <v/>
      </c>
      <c r="F24" s="25">
        <f>(Valuation!$B$51*(1+Model!E48+$A24)*(1+Model!F48+$A24)*(Model!F49+F$23)+Model!F20)*(1-Model!F50)/Model!F27</f>
        <v/>
      </c>
    </row>
    <row r="25">
      <c r="A25" s="43" t="n">
        <v>-0.01</v>
      </c>
      <c r="B25" s="25">
        <f>(Valuation!$B$51*(1+Model!E48+$A25)*(1+Model!F48+$A25)*(Model!F49+B$23)+Model!F20)*(1-Model!F50)/Model!F27</f>
        <v/>
      </c>
      <c r="C25" s="25">
        <f>(Valuation!$B$51*(1+Model!E48+$A25)*(1+Model!F48+$A25)*(Model!F49+C$23)+Model!F20)*(1-Model!F50)/Model!F27</f>
        <v/>
      </c>
      <c r="D25" s="25">
        <f>(Valuation!$B$51*(1+Model!E48+$A25)*(1+Model!F48+$A25)*(Model!F49+D$23)+Model!F20)*(1-Model!F50)/Model!F27</f>
        <v/>
      </c>
      <c r="E25" s="25">
        <f>(Valuation!$B$51*(1+Model!E48+$A25)*(1+Model!F48+$A25)*(Model!F49+E$23)+Model!F20)*(1-Model!F50)/Model!F27</f>
        <v/>
      </c>
      <c r="F25" s="25">
        <f>(Valuation!$B$51*(1+Model!E48+$A25)*(1+Model!F48+$A25)*(Model!F49+F$23)+Model!F20)*(1-Model!F50)/Model!F27</f>
        <v/>
      </c>
    </row>
    <row r="26">
      <c r="A26" s="43" t="n">
        <v>0</v>
      </c>
      <c r="B26" s="25">
        <f>(Valuation!$B$51*(1+Model!E48+$A26)*(1+Model!F48+$A26)*(Model!F49+B$23)+Model!F20)*(1-Model!F50)/Model!F27</f>
        <v/>
      </c>
      <c r="C26" s="25">
        <f>(Valuation!$B$51*(1+Model!E48+$A26)*(1+Model!F48+$A26)*(Model!F49+C$23)+Model!F20)*(1-Model!F50)/Model!F27</f>
        <v/>
      </c>
      <c r="D26" s="26">
        <f>(Valuation!$B$51*(1+Model!E48+$A26)*(1+Model!F48+$A26)*(Model!F49+D$23)+Model!F20)*(1-Model!F50)/Model!F27</f>
        <v/>
      </c>
      <c r="E26" s="25">
        <f>(Valuation!$B$51*(1+Model!E48+$A26)*(1+Model!F48+$A26)*(Model!F49+E$23)+Model!F20)*(1-Model!F50)/Model!F27</f>
        <v/>
      </c>
      <c r="F26" s="25">
        <f>(Valuation!$B$51*(1+Model!E48+$A26)*(1+Model!F48+$A26)*(Model!F49+F$23)+Model!F20)*(1-Model!F50)/Model!F27</f>
        <v/>
      </c>
    </row>
    <row r="27">
      <c r="A27" s="43" t="n">
        <v>0.01</v>
      </c>
      <c r="B27" s="25">
        <f>(Valuation!$B$51*(1+Model!E48+$A27)*(1+Model!F48+$A27)*(Model!F49+B$23)+Model!F20)*(1-Model!F50)/Model!F27</f>
        <v/>
      </c>
      <c r="C27" s="25">
        <f>(Valuation!$B$51*(1+Model!E48+$A27)*(1+Model!F48+$A27)*(Model!F49+C$23)+Model!F20)*(1-Model!F50)/Model!F27</f>
        <v/>
      </c>
      <c r="D27" s="25">
        <f>(Valuation!$B$51*(1+Model!E48+$A27)*(1+Model!F48+$A27)*(Model!F49+D$23)+Model!F20)*(1-Model!F50)/Model!F27</f>
        <v/>
      </c>
      <c r="E27" s="25">
        <f>(Valuation!$B$51*(1+Model!E48+$A27)*(1+Model!F48+$A27)*(Model!F49+E$23)+Model!F20)*(1-Model!F50)/Model!F27</f>
        <v/>
      </c>
      <c r="F27" s="25">
        <f>(Valuation!$B$51*(1+Model!E48+$A27)*(1+Model!F48+$A27)*(Model!F49+F$23)+Model!F20)*(1-Model!F50)/Model!F27</f>
        <v/>
      </c>
    </row>
    <row r="28">
      <c r="A28" s="43" t="n">
        <v>0.02</v>
      </c>
      <c r="B28" s="25">
        <f>(Valuation!$B$51*(1+Model!E48+$A28)*(1+Model!F48+$A28)*(Model!F49+B$23)+Model!F20)*(1-Model!F50)/Model!F27</f>
        <v/>
      </c>
      <c r="C28" s="25">
        <f>(Valuation!$B$51*(1+Model!E48+$A28)*(1+Model!F48+$A28)*(Model!F49+C$23)+Model!F20)*(1-Model!F50)/Model!F27</f>
        <v/>
      </c>
      <c r="D28" s="25">
        <f>(Valuation!$B$51*(1+Model!E48+$A28)*(1+Model!F48+$A28)*(Model!F49+D$23)+Model!F20)*(1-Model!F50)/Model!F27</f>
        <v/>
      </c>
      <c r="E28" s="25">
        <f>(Valuation!$B$51*(1+Model!E48+$A28)*(1+Model!F48+$A28)*(Model!F49+E$23)+Model!F20)*(1-Model!F50)/Model!F27</f>
        <v/>
      </c>
      <c r="F28" s="25">
        <f>(Valuation!$B$51*(1+Model!E48+$A28)*(1+Model!F48+$A28)*(Model!F49+F$23)+Model!F20)*(1-Model!F50)/Model!F27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MCHP: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Valuation!B85</f>
        <v/>
      </c>
      <c r="C4" s="4">
        <f>'Calc - bear'!$F$71</f>
        <v/>
      </c>
      <c r="D4">
        <f>Valuation!J85</f>
        <v/>
      </c>
    </row>
    <row r="5">
      <c r="A5" t="inlineStr">
        <is>
          <t>base</t>
        </is>
      </c>
      <c r="B5" s="12">
        <f>Valuation!B86</f>
        <v/>
      </c>
      <c r="C5" s="4">
        <f>'Calc - base'!$F$71</f>
        <v/>
      </c>
      <c r="D5">
        <f>Valuation!J86</f>
        <v/>
      </c>
    </row>
    <row r="6">
      <c r="A6" t="inlineStr">
        <is>
          <t>bull</t>
        </is>
      </c>
      <c r="B6" s="12">
        <f>Valuation!B87</f>
        <v/>
      </c>
      <c r="C6" s="4">
        <f>'Calc - bull'!$F$71</f>
        <v/>
      </c>
      <c r="D6">
        <f>Valuation!J87</f>
        <v/>
      </c>
    </row>
    <row r="8">
      <c r="A8" t="inlineStr">
        <is>
          <t>Probabilities sum to</t>
        </is>
      </c>
      <c r="B8" s="16">
        <f>SUM(B4:B6)</f>
        <v/>
      </c>
    </row>
    <row r="9">
      <c r="A9" t="inlineStr">
        <is>
          <t>Spread within each scenario</t>
        </is>
      </c>
      <c r="B9" s="12">
        <f>Valuation!$B$67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4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4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4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4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4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4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4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4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4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4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4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4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4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4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4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4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4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4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4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4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4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4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4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4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4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4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4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4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4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4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4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4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4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4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4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4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4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4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4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4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4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4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4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4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4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4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4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4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4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4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4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4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4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4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4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4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4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4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4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4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4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4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4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4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4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4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4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4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4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4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4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4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4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4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4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4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4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4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4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4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4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4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4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4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4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4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4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4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4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4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4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4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4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4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4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4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4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4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4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4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4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4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4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4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4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4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4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4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4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4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4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4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4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4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4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4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4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4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4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4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4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4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4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4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4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4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4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4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4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4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4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4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4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4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4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4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4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4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4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4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4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4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4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4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4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4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4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4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4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4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4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4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4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4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4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4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4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4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4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4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4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4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4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4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4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4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4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4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4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4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4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4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4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4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4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4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4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4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4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4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4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4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4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4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4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4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4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4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4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4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4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4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4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4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4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4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4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4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4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4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MCHP engine calculation: fair value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6" t="n">
        <v>0</v>
      </c>
    </row>
    <row r="5">
      <c r="A5" t="inlineStr">
        <is>
          <t>Scenario Margin Δ</t>
        </is>
      </c>
      <c r="B5" s="16" t="n">
        <v>0</v>
      </c>
    </row>
    <row r="6">
      <c r="A6" t="inlineStr">
        <is>
          <t>Scenario Multiple Δ (turns)</t>
        </is>
      </c>
      <c r="B6" s="45" t="n">
        <v>0</v>
      </c>
    </row>
    <row r="7">
      <c r="A7" t="inlineStr">
        <is>
          <t>Scenario WACC Δ</t>
        </is>
      </c>
      <c r="B7" s="16" t="n">
        <v>0</v>
      </c>
    </row>
    <row r="8">
      <c r="A8" t="inlineStr">
        <is>
          <t>Scenario Multiple %Δ</t>
        </is>
      </c>
      <c r="B8" s="16" t="n">
        <v>0</v>
      </c>
    </row>
    <row r="9">
      <c r="A9" t="inlineStr">
        <is>
          <t>Scenario Stated EPS/FCF %Δ</t>
        </is>
      </c>
      <c r="B9" s="16" t="n">
        <v>0</v>
      </c>
    </row>
    <row r="10">
      <c r="A10" t="inlineStr">
        <is>
          <t>Scenario Custom %Δ</t>
        </is>
      </c>
      <c r="B10" s="16" t="n">
        <v>0</v>
      </c>
    </row>
    <row r="12">
      <c r="A12" t="inlineStr">
        <is>
          <t>WACC</t>
        </is>
      </c>
      <c r="B12" s="16">
        <f>Valuation!$B$52+B7</f>
        <v/>
      </c>
    </row>
    <row r="13">
      <c r="A13" t="inlineStr">
        <is>
          <t>Years from last FY end to target date</t>
        </is>
      </c>
      <c r="B13" s="46">
        <f>(Valuation!$B$46-Valuation!$B$50)/365.25</f>
        <v/>
      </c>
    </row>
    <row r="14">
      <c r="A14" t="inlineStr">
        <is>
          <t>Years from last FY end to balance date</t>
        </is>
      </c>
      <c r="B14" s="46">
        <f>(Valuation!$B$56-Valuation!$B$50)/365.25</f>
        <v/>
      </c>
    </row>
    <row r="15">
      <c r="A15" t="inlineStr">
        <is>
          <t>Years from last FY end to share count date</t>
        </is>
      </c>
      <c r="B15" s="46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Valuation!$B$50+ROUND(365.25*C19,0)</f>
        <v/>
      </c>
      <c r="D20" s="18">
        <f>Valuation!$B$50+ROUND(365.25*D19,0)</f>
        <v/>
      </c>
      <c r="E20" s="18">
        <f>Valuation!$B$50+ROUND(365.25*E19,0)</f>
        <v/>
      </c>
    </row>
    <row r="21">
      <c r="A21" t="inlineStr">
        <is>
          <t>Revenue growth</t>
        </is>
      </c>
      <c r="C21" s="16">
        <f>Model!E48+$B$4</f>
        <v/>
      </c>
      <c r="D21" s="16">
        <f>Model!F48+$B$4</f>
        <v/>
      </c>
      <c r="E21" s="16">
        <f>Model!G48+$B$4</f>
        <v/>
      </c>
    </row>
    <row r="22">
      <c r="A22" t="inlineStr">
        <is>
          <t>Revenue</t>
        </is>
      </c>
      <c r="B22" s="21">
        <f>Valuation!$B$51</f>
        <v/>
      </c>
      <c r="C22" s="21">
        <f>B22*(1+C21)</f>
        <v/>
      </c>
      <c r="D22" s="21">
        <f>C22*(1+D21)</f>
        <v/>
      </c>
      <c r="E22" s="21">
        <f>D22*(1+E21)</f>
        <v/>
      </c>
    </row>
    <row r="23">
      <c r="A23" t="inlineStr">
        <is>
          <t>EBIT margin</t>
        </is>
      </c>
      <c r="C23" s="16">
        <f>Model!E49+$B$5</f>
        <v/>
      </c>
      <c r="D23" s="16">
        <f>Model!F49+$B$5</f>
        <v/>
      </c>
      <c r="E23" s="16">
        <f>Model!G49+$B$5</f>
        <v/>
      </c>
    </row>
    <row r="24">
      <c r="A24" t="inlineStr">
        <is>
          <t>EBIT</t>
        </is>
      </c>
      <c r="C24" s="21">
        <f>C22*C23</f>
        <v/>
      </c>
      <c r="D24" s="21">
        <f>D22*D23</f>
        <v/>
      </c>
      <c r="E24" s="21">
        <f>E22*E23</f>
        <v/>
      </c>
    </row>
    <row r="25">
      <c r="A25" t="inlineStr">
        <is>
          <t>Tax rate</t>
        </is>
      </c>
      <c r="C25" s="16">
        <f>Model!E50</f>
        <v/>
      </c>
      <c r="D25" s="16">
        <f>Model!F50</f>
        <v/>
      </c>
      <c r="E25" s="16">
        <f>Model!G50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C22*Model!E51</f>
        <v/>
      </c>
      <c r="D27" s="21">
        <f>D22*Model!F51</f>
        <v/>
      </c>
      <c r="E27" s="21">
        <f>E22*Model!G51</f>
        <v/>
      </c>
    </row>
    <row r="28">
      <c r="A28" t="inlineStr">
        <is>
          <t>Capex</t>
        </is>
      </c>
      <c r="C28" s="21">
        <f>C22*Model!E52</f>
        <v/>
      </c>
      <c r="D28" s="21">
        <f>D22*Model!F52</f>
        <v/>
      </c>
      <c r="E28" s="21">
        <f>E22*Model!G52</f>
        <v/>
      </c>
    </row>
    <row r="29">
      <c r="A29" t="inlineStr">
        <is>
          <t>Working capital increase</t>
        </is>
      </c>
      <c r="C29" s="21">
        <f>Model!E53*(C22-B22)</f>
        <v/>
      </c>
      <c r="D29" s="21">
        <f>Model!F53*(D22-C22)</f>
        <v/>
      </c>
      <c r="E29" s="21">
        <f>Model!G53*(E22-D22)</f>
        <v/>
      </c>
    </row>
    <row r="30">
      <c r="A30" t="inlineStr">
        <is>
          <t>Stock comp</t>
        </is>
      </c>
      <c r="C30" s="21">
        <f>C22*Model!E54</f>
        <v/>
      </c>
      <c r="D30" s="21">
        <f>D22*Model!F54</f>
        <v/>
      </c>
      <c r="E30" s="21">
        <f>E22*Model!G54</f>
        <v/>
      </c>
    </row>
    <row r="31">
      <c r="A31" t="inlineStr">
        <is>
          <t>Free cash flow to firm</t>
        </is>
      </c>
      <c r="C31" s="21">
        <f>C26+C27-C28-C29-IF(AND(Valuation!$B$48="adjusted",Valuation!$B$49="cost"),C30*(1-C25),0)</f>
        <v/>
      </c>
      <c r="D31" s="21">
        <f>D26+D27-D28-D29-IF(AND(Valuation!$B$48="adjusted",Valuation!$B$49="cost"),D30*(1-D25),0)</f>
        <v/>
      </c>
      <c r="E31" s="21">
        <f>E26+E27-E28-E29-IF(AND(Valuation!$B$48="adjusted",Valuation!$B$49="cost"),E30*(1-E25),0)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C24+C27+C22*Model!E58</f>
        <v/>
      </c>
      <c r="D33" s="21">
        <f>D24+D27+D22*Model!F58</f>
        <v/>
      </c>
      <c r="E33" s="21">
        <f>E24+E27+E22*Model!G58</f>
        <v/>
      </c>
    </row>
    <row r="34">
      <c r="A34" t="inlineStr">
        <is>
          <t>Shareholder returns + other uses</t>
        </is>
      </c>
      <c r="C34" s="21">
        <f>C22*Model!E56+Model!E55+Model!E57</f>
        <v/>
      </c>
      <c r="D34" s="21">
        <f>D22*Model!F56+Model!F55+Model!F57</f>
        <v/>
      </c>
      <c r="E34" s="21">
        <f>E22*Model!G56+Model!G55+Model!G57</f>
        <v/>
      </c>
    </row>
    <row r="35">
      <c r="A35" t="inlineStr">
        <is>
          <t>Share of year after target date</t>
        </is>
      </c>
      <c r="C35" s="46">
        <f>IF(C19&lt;=$B$13,0,C19-MAX(C19-1,$B$13))</f>
        <v/>
      </c>
      <c r="D35" s="46">
        <f>IF(D19&lt;=$B$13,0,D19-MAX(D19-1,$B$13))</f>
        <v/>
      </c>
      <c r="E35" s="46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6">
        <f>MAX(0,MIN(C19,$B$13)-MAX(C19-1,$B$14))</f>
        <v/>
      </c>
      <c r="D37" s="46">
        <f>MAX(0,MIN(D19,$B$13)-MAX(D19-1,$B$14))</f>
        <v/>
      </c>
      <c r="E37" s="46">
        <f>MAX(0,MIN(E19,$B$13)-MAX(E19-1,$B$14))</f>
        <v/>
      </c>
    </row>
    <row r="38">
      <c r="A38" t="inlineStr">
        <is>
          <t>NTM weight at target date</t>
        </is>
      </c>
      <c r="C38" s="46">
        <f>MAX(0,MIN(C19,$B$13+1)-MAX(C19-1,$B$13))</f>
        <v/>
      </c>
      <c r="D38" s="46">
        <f>MAX(0,MIN(D19,$B$13+1)-MAX(D19-1,$B$13))</f>
        <v/>
      </c>
      <c r="E38" s="46">
        <f>MAX(0,MIN(E19,$B$13+1)-MAX(E19-1,$B$13))</f>
        <v/>
      </c>
    </row>
    <row r="39">
      <c r="A39" t="inlineStr">
        <is>
          <t>LTM weight at target date</t>
        </is>
      </c>
      <c r="B39" s="46">
        <f>MAX(0,MIN(0,$B$13)-MAX(-1,$B$13-1))</f>
        <v/>
      </c>
      <c r="C39" s="46">
        <f>MAX(0,MIN(C19,$B$13)-MAX(C19-1,$B$13-1))</f>
        <v/>
      </c>
      <c r="D39" s="46">
        <f>MAX(0,MIN(D19,$B$13)-MAX(D19-1,$B$13-1))</f>
        <v/>
      </c>
      <c r="E39" s="46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Valuation!$B$59*(1-$C$25)*MAX(Valuation!$B$57,0)*MAX($B$13-$B$14,0)</f>
        <v/>
      </c>
    </row>
    <row r="50">
      <c r="A50" t="inlineStr">
        <is>
          <t>Net debt at target date</t>
        </is>
      </c>
      <c r="B50" s="21">
        <f>IF(Valuation!$B$60="",Valuation!$B$57-B47+B49+B48,Valuation!$B$60)</f>
        <v/>
      </c>
    </row>
    <row r="51">
      <c r="A51" t="inlineStr">
        <is>
          <t>Minority interests</t>
        </is>
      </c>
      <c r="B51" s="21">
        <f>Valuation!$B$58</f>
        <v/>
      </c>
    </row>
    <row r="52">
      <c r="A52" t="inlineStr">
        <is>
          <t>Adjustments (probability-weighted)</t>
        </is>
      </c>
      <c r="B52" s="21" t="n">
        <v>0</v>
      </c>
    </row>
    <row r="53">
      <c r="A53" t="inlineStr">
        <is>
          <t>Diluted shares at target date (M)</t>
        </is>
      </c>
      <c r="B53" s="24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1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yield",Valuation!B71*(1-$B$8),Valuation!B71+IF(B68="EV/sales",0.1,1)*$B$6)</f>
        <v/>
      </c>
      <c r="D68">
        <f>Valuation!D71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Valuation!F71*(1+$B$9),C68*(E68-$B$54)/$B$53),IF(Valuation!G71&lt;&gt;"",Valuation!G71*(1+$B$9)/C68,(E68-IF(Valuation!H71,$B$54,0))/C68/$B$53))+$B$52/$B$53)</f>
        <v/>
      </c>
      <c r="G68" s="16">
        <f>Valuation!C71</f>
        <v/>
      </c>
      <c r="H68">
        <f>IF(B68="EV/sales",1,IF(B68="EV/EBIT",2,IF(B68="EV/EBITDA",IF(Valuation!E71="adjusted",4,3),IF(B68="P/E",5,6))))</f>
        <v/>
      </c>
      <c r="I68" s="47">
        <f>IF(AND(B68="P/E",Valuation!F71&lt;&gt;""),Valuation!F71*(1+$B$9),IF(AND(B68="FCF yield",Valuation!G71&lt;&gt;""),Valuation!G71*(1+$B$9),E68))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yield",Valuation!B72*(1-$B$8),Valuation!B72+IF(B69="EV/sales",0.1,1)*$B$6)</f>
        <v/>
      </c>
      <c r="D69">
        <f>Valuation!D72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Valuation!F72*(1+$B$9),C69*(E69-$B$54)/$B$53),IF(Valuation!G72&lt;&gt;"",Valuation!G72*(1+$B$9)/C69,(E69-IF(Valuation!H72,$B$54,0))/C69/$B$53))+$B$52/$B$53)</f>
        <v/>
      </c>
      <c r="G69" s="16">
        <f>Valuation!C72</f>
        <v/>
      </c>
      <c r="H69">
        <f>IF(B69="EV/sales",1,IF(B69="EV/EBIT",2,IF(B69="EV/EBITDA",IF(Valuation!E72="adjusted",4,3),IF(B69="P/E",5,6))))</f>
        <v/>
      </c>
      <c r="I69" s="47">
        <f>IF(AND(B69="P/E",Valuation!F72&lt;&gt;""),Valuation!F72*(1+$B$9),IF(AND(B69="FCF yield",Valuation!G72&lt;&gt;""),Valuation!G72*(1+$B$9),E69))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yield",Valuation!B73*(1-$B$8),Valuation!B73+IF(B70="EV/sales",0.1,1)*$B$6)</f>
        <v/>
      </c>
      <c r="D70">
        <f>Valuation!D73</f>
        <v/>
      </c>
      <c r="E70" s="21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Valuation!F73*(1+$B$9),C70*(E70-$B$54)/$B$53),IF(Valuation!G73&lt;&gt;"",Valuation!G73*(1+$B$9)/C70,(E70-IF(Valuation!H73,$B$54,0))/C70/$B$53))+$B$52/$B$53)</f>
        <v/>
      </c>
      <c r="G70" s="16">
        <f>Valuation!C73</f>
        <v/>
      </c>
      <c r="H70">
        <f>IF(B70="EV/sales",1,IF(B70="EV/EBIT",2,IF(B70="EV/EBITDA",IF(Valuation!E73="adjusted",4,3),IF(B70="P/E",5,6))))</f>
        <v/>
      </c>
      <c r="I70" s="47">
        <f>IF(AND(B70="P/E",Valuation!F73&lt;&gt;""),Valuation!F73*(1+$B$9),IF(AND(B70="FCF yield",Valuation!G73&lt;&gt;""),Valuation!G73*(1+$B$9),E70))</f>
        <v/>
      </c>
    </row>
    <row r="71">
      <c r="A71" s="17" t="inlineStr">
        <is>
          <t>Value per share at target date (weighted methods)</t>
        </is>
      </c>
      <c r="F71" s="6">
        <f>SUMPRODUCT(F67:F70,G67:G70)/SUM(G67:G70)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MCHP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N(Valuation!C85)</f>
        <v/>
      </c>
    </row>
    <row r="5">
      <c r="A5" t="inlineStr">
        <is>
          <t>Scenario Margin Δ</t>
        </is>
      </c>
      <c r="B5" s="12">
        <f>N(Valuation!D85)</f>
        <v/>
      </c>
    </row>
    <row r="6">
      <c r="A6" t="inlineStr">
        <is>
          <t>Scenario Multiple Δ (turns)</t>
        </is>
      </c>
      <c r="B6" s="48">
        <f>N(Valuation!E85)</f>
        <v/>
      </c>
    </row>
    <row r="7">
      <c r="A7" t="inlineStr">
        <is>
          <t>Scenario WACC Δ</t>
        </is>
      </c>
      <c r="B7" s="12">
        <f>N(Valuation!F85)</f>
        <v/>
      </c>
    </row>
    <row r="8">
      <c r="A8" t="inlineStr">
        <is>
          <t>Scenario Multiple %Δ</t>
        </is>
      </c>
      <c r="B8" s="12">
        <f>N(Valuation!G85)</f>
        <v/>
      </c>
    </row>
    <row r="9">
      <c r="A9" t="inlineStr">
        <is>
          <t>Scenario Stated EPS/FCF %Δ</t>
        </is>
      </c>
      <c r="B9" s="12">
        <f>N(Valuation!H85)</f>
        <v/>
      </c>
    </row>
    <row r="10">
      <c r="A10" t="inlineStr">
        <is>
          <t>Scenario Custom %Δ</t>
        </is>
      </c>
      <c r="B10" s="12">
        <f>N(Valuation!I85)</f>
        <v/>
      </c>
    </row>
    <row r="12">
      <c r="A12" t="inlineStr">
        <is>
          <t>WACC</t>
        </is>
      </c>
      <c r="B12" s="16">
        <f>Valuation!$B$52+B7</f>
        <v/>
      </c>
    </row>
    <row r="13">
      <c r="A13" t="inlineStr">
        <is>
          <t>Years from last FY end to target date</t>
        </is>
      </c>
      <c r="B13" s="46">
        <f>(Valuation!$B$46-Valuation!$B$50)/365.25</f>
        <v/>
      </c>
    </row>
    <row r="14">
      <c r="A14" t="inlineStr">
        <is>
          <t>Years from last FY end to balance date</t>
        </is>
      </c>
      <c r="B14" s="46">
        <f>(Valuation!$B$56-Valuation!$B$50)/365.25</f>
        <v/>
      </c>
    </row>
    <row r="15">
      <c r="A15" t="inlineStr">
        <is>
          <t>Years from last FY end to share count date</t>
        </is>
      </c>
      <c r="B15" s="46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Valuation!$B$50+ROUND(365.25*C19,0)</f>
        <v/>
      </c>
      <c r="D20" s="18">
        <f>Valuation!$B$50+ROUND(365.25*D19,0)</f>
        <v/>
      </c>
      <c r="E20" s="18">
        <f>Valuation!$B$50+ROUND(365.25*E19,0)</f>
        <v/>
      </c>
    </row>
    <row r="21">
      <c r="A21" t="inlineStr">
        <is>
          <t>Revenue growth</t>
        </is>
      </c>
      <c r="C21" s="16">
        <f>Model!E48+$B$4</f>
        <v/>
      </c>
      <c r="D21" s="16">
        <f>Model!F48+$B$4</f>
        <v/>
      </c>
      <c r="E21" s="16">
        <f>Model!G48+$B$4</f>
        <v/>
      </c>
    </row>
    <row r="22">
      <c r="A22" t="inlineStr">
        <is>
          <t>Revenue</t>
        </is>
      </c>
      <c r="B22" s="21">
        <f>Valuation!$B$51</f>
        <v/>
      </c>
      <c r="C22" s="21">
        <f>B22*(1+C21)</f>
        <v/>
      </c>
      <c r="D22" s="21">
        <f>C22*(1+D21)</f>
        <v/>
      </c>
      <c r="E22" s="21">
        <f>D22*(1+E21)</f>
        <v/>
      </c>
    </row>
    <row r="23">
      <c r="A23" t="inlineStr">
        <is>
          <t>EBIT margin</t>
        </is>
      </c>
      <c r="C23" s="16">
        <f>Model!E49+$B$5</f>
        <v/>
      </c>
      <c r="D23" s="16">
        <f>Model!F49+$B$5</f>
        <v/>
      </c>
      <c r="E23" s="16">
        <f>Model!G49+$B$5</f>
        <v/>
      </c>
    </row>
    <row r="24">
      <c r="A24" t="inlineStr">
        <is>
          <t>EBIT</t>
        </is>
      </c>
      <c r="C24" s="21">
        <f>C22*C23</f>
        <v/>
      </c>
      <c r="D24" s="21">
        <f>D22*D23</f>
        <v/>
      </c>
      <c r="E24" s="21">
        <f>E22*E23</f>
        <v/>
      </c>
    </row>
    <row r="25">
      <c r="A25" t="inlineStr">
        <is>
          <t>Tax rate</t>
        </is>
      </c>
      <c r="C25" s="16">
        <f>Model!E50</f>
        <v/>
      </c>
      <c r="D25" s="16">
        <f>Model!F50</f>
        <v/>
      </c>
      <c r="E25" s="16">
        <f>Model!G50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C22*Model!E51</f>
        <v/>
      </c>
      <c r="D27" s="21">
        <f>D22*Model!F51</f>
        <v/>
      </c>
      <c r="E27" s="21">
        <f>E22*Model!G51</f>
        <v/>
      </c>
    </row>
    <row r="28">
      <c r="A28" t="inlineStr">
        <is>
          <t>Capex</t>
        </is>
      </c>
      <c r="C28" s="21">
        <f>C22*Model!E52</f>
        <v/>
      </c>
      <c r="D28" s="21">
        <f>D22*Model!F52</f>
        <v/>
      </c>
      <c r="E28" s="21">
        <f>E22*Model!G52</f>
        <v/>
      </c>
    </row>
    <row r="29">
      <c r="A29" t="inlineStr">
        <is>
          <t>Working capital increase</t>
        </is>
      </c>
      <c r="C29" s="21">
        <f>Model!E53*(C22-B22)</f>
        <v/>
      </c>
      <c r="D29" s="21">
        <f>Model!F53*(D22-C22)</f>
        <v/>
      </c>
      <c r="E29" s="21">
        <f>Model!G53*(E22-D22)</f>
        <v/>
      </c>
    </row>
    <row r="30">
      <c r="A30" t="inlineStr">
        <is>
          <t>Stock comp</t>
        </is>
      </c>
      <c r="C30" s="21">
        <f>C22*Model!E54</f>
        <v/>
      </c>
      <c r="D30" s="21">
        <f>D22*Model!F54</f>
        <v/>
      </c>
      <c r="E30" s="21">
        <f>E22*Model!G54</f>
        <v/>
      </c>
    </row>
    <row r="31">
      <c r="A31" t="inlineStr">
        <is>
          <t>Free cash flow to firm</t>
        </is>
      </c>
      <c r="C31" s="21">
        <f>C26+C27-C28-C29-IF(AND(Valuation!$B$48="adjusted",Valuation!$B$49="cost"),C30*(1-C25),0)</f>
        <v/>
      </c>
      <c r="D31" s="21">
        <f>D26+D27-D28-D29-IF(AND(Valuation!$B$48="adjusted",Valuation!$B$49="cost"),D30*(1-D25),0)</f>
        <v/>
      </c>
      <c r="E31" s="21">
        <f>E26+E27-E28-E29-IF(AND(Valuation!$B$48="adjusted",Valuation!$B$49="cost"),E30*(1-E25),0)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C24+C27+C22*Model!E58</f>
        <v/>
      </c>
      <c r="D33" s="21">
        <f>D24+D27+D22*Model!F58</f>
        <v/>
      </c>
      <c r="E33" s="21">
        <f>E24+E27+E22*Model!G58</f>
        <v/>
      </c>
    </row>
    <row r="34">
      <c r="A34" t="inlineStr">
        <is>
          <t>Shareholder returns + other uses</t>
        </is>
      </c>
      <c r="C34" s="21">
        <f>C22*Model!E56+Model!E55+Model!E57</f>
        <v/>
      </c>
      <c r="D34" s="21">
        <f>D22*Model!F56+Model!F55+Model!F57</f>
        <v/>
      </c>
      <c r="E34" s="21">
        <f>E22*Model!G56+Model!G55+Model!G57</f>
        <v/>
      </c>
    </row>
    <row r="35">
      <c r="A35" t="inlineStr">
        <is>
          <t>Share of year after target date</t>
        </is>
      </c>
      <c r="C35" s="46">
        <f>IF(C19&lt;=$B$13,0,C19-MAX(C19-1,$B$13))</f>
        <v/>
      </c>
      <c r="D35" s="46">
        <f>IF(D19&lt;=$B$13,0,D19-MAX(D19-1,$B$13))</f>
        <v/>
      </c>
      <c r="E35" s="46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6">
        <f>MAX(0,MIN(C19,$B$13)-MAX(C19-1,$B$14))</f>
        <v/>
      </c>
      <c r="D37" s="46">
        <f>MAX(0,MIN(D19,$B$13)-MAX(D19-1,$B$14))</f>
        <v/>
      </c>
      <c r="E37" s="46">
        <f>MAX(0,MIN(E19,$B$13)-MAX(E19-1,$B$14))</f>
        <v/>
      </c>
    </row>
    <row r="38">
      <c r="A38" t="inlineStr">
        <is>
          <t>NTM weight at target date</t>
        </is>
      </c>
      <c r="C38" s="46">
        <f>MAX(0,MIN(C19,$B$13+1)-MAX(C19-1,$B$13))</f>
        <v/>
      </c>
      <c r="D38" s="46">
        <f>MAX(0,MIN(D19,$B$13+1)-MAX(D19-1,$B$13))</f>
        <v/>
      </c>
      <c r="E38" s="46">
        <f>MAX(0,MIN(E19,$B$13+1)-MAX(E19-1,$B$13))</f>
        <v/>
      </c>
    </row>
    <row r="39">
      <c r="A39" t="inlineStr">
        <is>
          <t>LTM weight at target date</t>
        </is>
      </c>
      <c r="B39" s="46">
        <f>MAX(0,MIN(0,$B$13)-MAX(-1,$B$13-1))</f>
        <v/>
      </c>
      <c r="C39" s="46">
        <f>MAX(0,MIN(C19,$B$13)-MAX(C19-1,$B$13-1))</f>
        <v/>
      </c>
      <c r="D39" s="46">
        <f>MAX(0,MIN(D19,$B$13)-MAX(D19-1,$B$13-1))</f>
        <v/>
      </c>
      <c r="E39" s="46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Valuation!$B$59*(1-$C$25)*MAX(Valuation!$B$57,0)*MAX($B$13-$B$14,0)</f>
        <v/>
      </c>
    </row>
    <row r="50">
      <c r="A50" t="inlineStr">
        <is>
          <t>Net debt at target date</t>
        </is>
      </c>
      <c r="B50" s="21">
        <f>IF(Valuation!$B$60="",Valuation!$B$57-B47+B49+B48,Valuation!$B$60)</f>
        <v/>
      </c>
    </row>
    <row r="51">
      <c r="A51" t="inlineStr">
        <is>
          <t>Minority interests</t>
        </is>
      </c>
      <c r="B51" s="21">
        <f>Valuation!$B$58</f>
        <v/>
      </c>
    </row>
    <row r="52">
      <c r="A52" t="inlineStr">
        <is>
          <t>Adjustments (probability-weighted)</t>
        </is>
      </c>
      <c r="B52" s="21" t="n">
        <v>0</v>
      </c>
    </row>
    <row r="53">
      <c r="A53" t="inlineStr">
        <is>
          <t>Diluted shares at target date (M)</t>
        </is>
      </c>
      <c r="B53" s="24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1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yield",Valuation!B71*(1-$B$8),Valuation!B71+IF(B68="EV/sales",0.1,1)*$B$6)</f>
        <v/>
      </c>
      <c r="D68">
        <f>Valuation!D71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Valuation!F71*(1+$B$9),C68*(E68-$B$54)/$B$53),IF(Valuation!G71&lt;&gt;"",Valuation!G71*(1+$B$9)/C68,(E68-IF(Valuation!H71,$B$54,0))/C68/$B$53))+$B$52/$B$53)</f>
        <v/>
      </c>
      <c r="G68" s="16">
        <f>Valuation!C71</f>
        <v/>
      </c>
      <c r="H68">
        <f>IF(B68="EV/sales",1,IF(B68="EV/EBIT",2,IF(B68="EV/EBITDA",IF(Valuation!E71="adjusted",4,3),IF(B68="P/E",5,6))))</f>
        <v/>
      </c>
      <c r="I68" s="47">
        <f>IF(AND(B68="P/E",Valuation!F71&lt;&gt;""),Valuation!F71*(1+$B$9),IF(AND(B68="FCF yield",Valuation!G71&lt;&gt;""),Valuation!G71*(1+$B$9),E68))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yield",Valuation!B72*(1-$B$8),Valuation!B72+IF(B69="EV/sales",0.1,1)*$B$6)</f>
        <v/>
      </c>
      <c r="D69">
        <f>Valuation!D72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Valuation!F72*(1+$B$9),C69*(E69-$B$54)/$B$53),IF(Valuation!G72&lt;&gt;"",Valuation!G72*(1+$B$9)/C69,(E69-IF(Valuation!H72,$B$54,0))/C69/$B$53))+$B$52/$B$53)</f>
        <v/>
      </c>
      <c r="G69" s="16">
        <f>Valuation!C72</f>
        <v/>
      </c>
      <c r="H69">
        <f>IF(B69="EV/sales",1,IF(B69="EV/EBIT",2,IF(B69="EV/EBITDA",IF(Valuation!E72="adjusted",4,3),IF(B69="P/E",5,6))))</f>
        <v/>
      </c>
      <c r="I69" s="47">
        <f>IF(AND(B69="P/E",Valuation!F72&lt;&gt;""),Valuation!F72*(1+$B$9),IF(AND(B69="FCF yield",Valuation!G72&lt;&gt;""),Valuation!G72*(1+$B$9),E69))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yield",Valuation!B73*(1-$B$8),Valuation!B73+IF(B70="EV/sales",0.1,1)*$B$6)</f>
        <v/>
      </c>
      <c r="D70">
        <f>Valuation!D73</f>
        <v/>
      </c>
      <c r="E70" s="21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Valuation!F73*(1+$B$9),C70*(E70-$B$54)/$B$53),IF(Valuation!G73&lt;&gt;"",Valuation!G73*(1+$B$9)/C70,(E70-IF(Valuation!H73,$B$54,0))/C70/$B$53))+$B$52/$B$53)</f>
        <v/>
      </c>
      <c r="G70" s="16">
        <f>Valuation!C73</f>
        <v/>
      </c>
      <c r="H70">
        <f>IF(B70="EV/sales",1,IF(B70="EV/EBIT",2,IF(B70="EV/EBITDA",IF(Valuation!E73="adjusted",4,3),IF(B70="P/E",5,6))))</f>
        <v/>
      </c>
      <c r="I70" s="47">
        <f>IF(AND(B70="P/E",Valuation!F73&lt;&gt;""),Valuation!F73*(1+$B$9),IF(AND(B70="FCF yield",Valuation!G73&lt;&gt;""),Valuation!G73*(1+$B$9),E70))</f>
        <v/>
      </c>
    </row>
    <row r="71">
      <c r="A71" s="17" t="inlineStr">
        <is>
          <t>Value per share at target date (weighted methods)</t>
        </is>
      </c>
      <c r="F71" s="6">
        <f>SUMPRODUCT(F67:F70,G67:G70)/SUM(G67:G70)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MCHP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N(Valuation!C86)</f>
        <v/>
      </c>
    </row>
    <row r="5">
      <c r="A5" t="inlineStr">
        <is>
          <t>Scenario Margin Δ</t>
        </is>
      </c>
      <c r="B5" s="12">
        <f>N(Valuation!D86)</f>
        <v/>
      </c>
    </row>
    <row r="6">
      <c r="A6" t="inlineStr">
        <is>
          <t>Scenario Multiple Δ (turns)</t>
        </is>
      </c>
      <c r="B6" s="48">
        <f>N(Valuation!E86)</f>
        <v/>
      </c>
    </row>
    <row r="7">
      <c r="A7" t="inlineStr">
        <is>
          <t>Scenario WACC Δ</t>
        </is>
      </c>
      <c r="B7" s="12">
        <f>N(Valuation!F86)</f>
        <v/>
      </c>
    </row>
    <row r="8">
      <c r="A8" t="inlineStr">
        <is>
          <t>Scenario Multiple %Δ</t>
        </is>
      </c>
      <c r="B8" s="12">
        <f>N(Valuation!G86)</f>
        <v/>
      </c>
    </row>
    <row r="9">
      <c r="A9" t="inlineStr">
        <is>
          <t>Scenario Stated EPS/FCF %Δ</t>
        </is>
      </c>
      <c r="B9" s="12">
        <f>N(Valuation!H86)</f>
        <v/>
      </c>
    </row>
    <row r="10">
      <c r="A10" t="inlineStr">
        <is>
          <t>Scenario Custom %Δ</t>
        </is>
      </c>
      <c r="B10" s="12">
        <f>N(Valuation!I86)</f>
        <v/>
      </c>
    </row>
    <row r="12">
      <c r="A12" t="inlineStr">
        <is>
          <t>WACC</t>
        </is>
      </c>
      <c r="B12" s="16">
        <f>Valuation!$B$52+B7</f>
        <v/>
      </c>
    </row>
    <row r="13">
      <c r="A13" t="inlineStr">
        <is>
          <t>Years from last FY end to target date</t>
        </is>
      </c>
      <c r="B13" s="46">
        <f>(Valuation!$B$46-Valuation!$B$50)/365.25</f>
        <v/>
      </c>
    </row>
    <row r="14">
      <c r="A14" t="inlineStr">
        <is>
          <t>Years from last FY end to balance date</t>
        </is>
      </c>
      <c r="B14" s="46">
        <f>(Valuation!$B$56-Valuation!$B$50)/365.25</f>
        <v/>
      </c>
    </row>
    <row r="15">
      <c r="A15" t="inlineStr">
        <is>
          <t>Years from last FY end to share count date</t>
        </is>
      </c>
      <c r="B15" s="46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Valuation!$B$50+ROUND(365.25*C19,0)</f>
        <v/>
      </c>
      <c r="D20" s="18">
        <f>Valuation!$B$50+ROUND(365.25*D19,0)</f>
        <v/>
      </c>
      <c r="E20" s="18">
        <f>Valuation!$B$50+ROUND(365.25*E19,0)</f>
        <v/>
      </c>
    </row>
    <row r="21">
      <c r="A21" t="inlineStr">
        <is>
          <t>Revenue growth</t>
        </is>
      </c>
      <c r="C21" s="16">
        <f>Model!E48+$B$4</f>
        <v/>
      </c>
      <c r="D21" s="16">
        <f>Model!F48+$B$4</f>
        <v/>
      </c>
      <c r="E21" s="16">
        <f>Model!G48+$B$4</f>
        <v/>
      </c>
    </row>
    <row r="22">
      <c r="A22" t="inlineStr">
        <is>
          <t>Revenue</t>
        </is>
      </c>
      <c r="B22" s="21">
        <f>Valuation!$B$51</f>
        <v/>
      </c>
      <c r="C22" s="21">
        <f>B22*(1+C21)</f>
        <v/>
      </c>
      <c r="D22" s="21">
        <f>C22*(1+D21)</f>
        <v/>
      </c>
      <c r="E22" s="21">
        <f>D22*(1+E21)</f>
        <v/>
      </c>
    </row>
    <row r="23">
      <c r="A23" t="inlineStr">
        <is>
          <t>EBIT margin</t>
        </is>
      </c>
      <c r="C23" s="16">
        <f>Model!E49+$B$5</f>
        <v/>
      </c>
      <c r="D23" s="16">
        <f>Model!F49+$B$5</f>
        <v/>
      </c>
      <c r="E23" s="16">
        <f>Model!G49+$B$5</f>
        <v/>
      </c>
    </row>
    <row r="24">
      <c r="A24" t="inlineStr">
        <is>
          <t>EBIT</t>
        </is>
      </c>
      <c r="C24" s="21">
        <f>C22*C23</f>
        <v/>
      </c>
      <c r="D24" s="21">
        <f>D22*D23</f>
        <v/>
      </c>
      <c r="E24" s="21">
        <f>E22*E23</f>
        <v/>
      </c>
    </row>
    <row r="25">
      <c r="A25" t="inlineStr">
        <is>
          <t>Tax rate</t>
        </is>
      </c>
      <c r="C25" s="16">
        <f>Model!E50</f>
        <v/>
      </c>
      <c r="D25" s="16">
        <f>Model!F50</f>
        <v/>
      </c>
      <c r="E25" s="16">
        <f>Model!G50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C22*Model!E51</f>
        <v/>
      </c>
      <c r="D27" s="21">
        <f>D22*Model!F51</f>
        <v/>
      </c>
      <c r="E27" s="21">
        <f>E22*Model!G51</f>
        <v/>
      </c>
    </row>
    <row r="28">
      <c r="A28" t="inlineStr">
        <is>
          <t>Capex</t>
        </is>
      </c>
      <c r="C28" s="21">
        <f>C22*Model!E52</f>
        <v/>
      </c>
      <c r="D28" s="21">
        <f>D22*Model!F52</f>
        <v/>
      </c>
      <c r="E28" s="21">
        <f>E22*Model!G52</f>
        <v/>
      </c>
    </row>
    <row r="29">
      <c r="A29" t="inlineStr">
        <is>
          <t>Working capital increase</t>
        </is>
      </c>
      <c r="C29" s="21">
        <f>Model!E53*(C22-B22)</f>
        <v/>
      </c>
      <c r="D29" s="21">
        <f>Model!F53*(D22-C22)</f>
        <v/>
      </c>
      <c r="E29" s="21">
        <f>Model!G53*(E22-D22)</f>
        <v/>
      </c>
    </row>
    <row r="30">
      <c r="A30" t="inlineStr">
        <is>
          <t>Stock comp</t>
        </is>
      </c>
      <c r="C30" s="21">
        <f>C22*Model!E54</f>
        <v/>
      </c>
      <c r="D30" s="21">
        <f>D22*Model!F54</f>
        <v/>
      </c>
      <c r="E30" s="21">
        <f>E22*Model!G54</f>
        <v/>
      </c>
    </row>
    <row r="31">
      <c r="A31" t="inlineStr">
        <is>
          <t>Free cash flow to firm</t>
        </is>
      </c>
      <c r="C31" s="21">
        <f>C26+C27-C28-C29-IF(AND(Valuation!$B$48="adjusted",Valuation!$B$49="cost"),C30*(1-C25),0)</f>
        <v/>
      </c>
      <c r="D31" s="21">
        <f>D26+D27-D28-D29-IF(AND(Valuation!$B$48="adjusted",Valuation!$B$49="cost"),D30*(1-D25),0)</f>
        <v/>
      </c>
      <c r="E31" s="21">
        <f>E26+E27-E28-E29-IF(AND(Valuation!$B$48="adjusted",Valuation!$B$49="cost"),E30*(1-E25),0)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C24+C27+C22*Model!E58</f>
        <v/>
      </c>
      <c r="D33" s="21">
        <f>D24+D27+D22*Model!F58</f>
        <v/>
      </c>
      <c r="E33" s="21">
        <f>E24+E27+E22*Model!G58</f>
        <v/>
      </c>
    </row>
    <row r="34">
      <c r="A34" t="inlineStr">
        <is>
          <t>Shareholder returns + other uses</t>
        </is>
      </c>
      <c r="C34" s="21">
        <f>C22*Model!E56+Model!E55+Model!E57</f>
        <v/>
      </c>
      <c r="D34" s="21">
        <f>D22*Model!F56+Model!F55+Model!F57</f>
        <v/>
      </c>
      <c r="E34" s="21">
        <f>E22*Model!G56+Model!G55+Model!G57</f>
        <v/>
      </c>
    </row>
    <row r="35">
      <c r="A35" t="inlineStr">
        <is>
          <t>Share of year after target date</t>
        </is>
      </c>
      <c r="C35" s="46">
        <f>IF(C19&lt;=$B$13,0,C19-MAX(C19-1,$B$13))</f>
        <v/>
      </c>
      <c r="D35" s="46">
        <f>IF(D19&lt;=$B$13,0,D19-MAX(D19-1,$B$13))</f>
        <v/>
      </c>
      <c r="E35" s="46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6">
        <f>MAX(0,MIN(C19,$B$13)-MAX(C19-1,$B$14))</f>
        <v/>
      </c>
      <c r="D37" s="46">
        <f>MAX(0,MIN(D19,$B$13)-MAX(D19-1,$B$14))</f>
        <v/>
      </c>
      <c r="E37" s="46">
        <f>MAX(0,MIN(E19,$B$13)-MAX(E19-1,$B$14))</f>
        <v/>
      </c>
    </row>
    <row r="38">
      <c r="A38" t="inlineStr">
        <is>
          <t>NTM weight at target date</t>
        </is>
      </c>
      <c r="C38" s="46">
        <f>MAX(0,MIN(C19,$B$13+1)-MAX(C19-1,$B$13))</f>
        <v/>
      </c>
      <c r="D38" s="46">
        <f>MAX(0,MIN(D19,$B$13+1)-MAX(D19-1,$B$13))</f>
        <v/>
      </c>
      <c r="E38" s="46">
        <f>MAX(0,MIN(E19,$B$13+1)-MAX(E19-1,$B$13))</f>
        <v/>
      </c>
    </row>
    <row r="39">
      <c r="A39" t="inlineStr">
        <is>
          <t>LTM weight at target date</t>
        </is>
      </c>
      <c r="B39" s="46">
        <f>MAX(0,MIN(0,$B$13)-MAX(-1,$B$13-1))</f>
        <v/>
      </c>
      <c r="C39" s="46">
        <f>MAX(0,MIN(C19,$B$13)-MAX(C19-1,$B$13-1))</f>
        <v/>
      </c>
      <c r="D39" s="46">
        <f>MAX(0,MIN(D19,$B$13)-MAX(D19-1,$B$13-1))</f>
        <v/>
      </c>
      <c r="E39" s="46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Valuation!$B$59*(1-$C$25)*MAX(Valuation!$B$57,0)*MAX($B$13-$B$14,0)</f>
        <v/>
      </c>
    </row>
    <row r="50">
      <c r="A50" t="inlineStr">
        <is>
          <t>Net debt at target date</t>
        </is>
      </c>
      <c r="B50" s="21">
        <f>IF(Valuation!$B$60="",Valuation!$B$57-B47+B49+B48,Valuation!$B$60)</f>
        <v/>
      </c>
    </row>
    <row r="51">
      <c r="A51" t="inlineStr">
        <is>
          <t>Minority interests</t>
        </is>
      </c>
      <c r="B51" s="21">
        <f>Valuation!$B$58</f>
        <v/>
      </c>
    </row>
    <row r="52">
      <c r="A52" t="inlineStr">
        <is>
          <t>Adjustments (probability-weighted)</t>
        </is>
      </c>
      <c r="B52" s="21" t="n">
        <v>0</v>
      </c>
    </row>
    <row r="53">
      <c r="A53" t="inlineStr">
        <is>
          <t>Diluted shares at target date (M)</t>
        </is>
      </c>
      <c r="B53" s="24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1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yield",Valuation!B71*(1-$B$8),Valuation!B71+IF(B68="EV/sales",0.1,1)*$B$6)</f>
        <v/>
      </c>
      <c r="D68">
        <f>Valuation!D71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Valuation!F71*(1+$B$9),C68*(E68-$B$54)/$B$53),IF(Valuation!G71&lt;&gt;"",Valuation!G71*(1+$B$9)/C68,(E68-IF(Valuation!H71,$B$54,0))/C68/$B$53))+$B$52/$B$53)</f>
        <v/>
      </c>
      <c r="G68" s="16">
        <f>Valuation!C71</f>
        <v/>
      </c>
      <c r="H68">
        <f>IF(B68="EV/sales",1,IF(B68="EV/EBIT",2,IF(B68="EV/EBITDA",IF(Valuation!E71="adjusted",4,3),IF(B68="P/E",5,6))))</f>
        <v/>
      </c>
      <c r="I68" s="47">
        <f>IF(AND(B68="P/E",Valuation!F71&lt;&gt;""),Valuation!F71*(1+$B$9),IF(AND(B68="FCF yield",Valuation!G71&lt;&gt;""),Valuation!G71*(1+$B$9),E68))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yield",Valuation!B72*(1-$B$8),Valuation!B72+IF(B69="EV/sales",0.1,1)*$B$6)</f>
        <v/>
      </c>
      <c r="D69">
        <f>Valuation!D72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Valuation!F72*(1+$B$9),C69*(E69-$B$54)/$B$53),IF(Valuation!G72&lt;&gt;"",Valuation!G72*(1+$B$9)/C69,(E69-IF(Valuation!H72,$B$54,0))/C69/$B$53))+$B$52/$B$53)</f>
        <v/>
      </c>
      <c r="G69" s="16">
        <f>Valuation!C72</f>
        <v/>
      </c>
      <c r="H69">
        <f>IF(B69="EV/sales",1,IF(B69="EV/EBIT",2,IF(B69="EV/EBITDA",IF(Valuation!E72="adjusted",4,3),IF(B69="P/E",5,6))))</f>
        <v/>
      </c>
      <c r="I69" s="47">
        <f>IF(AND(B69="P/E",Valuation!F72&lt;&gt;""),Valuation!F72*(1+$B$9),IF(AND(B69="FCF yield",Valuation!G72&lt;&gt;""),Valuation!G72*(1+$B$9),E69))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yield",Valuation!B73*(1-$B$8),Valuation!B73+IF(B70="EV/sales",0.1,1)*$B$6)</f>
        <v/>
      </c>
      <c r="D70">
        <f>Valuation!D73</f>
        <v/>
      </c>
      <c r="E70" s="21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Valuation!F73*(1+$B$9),C70*(E70-$B$54)/$B$53),IF(Valuation!G73&lt;&gt;"",Valuation!G73*(1+$B$9)/C70,(E70-IF(Valuation!H73,$B$54,0))/C70/$B$53))+$B$52/$B$53)</f>
        <v/>
      </c>
      <c r="G70" s="16">
        <f>Valuation!C73</f>
        <v/>
      </c>
      <c r="H70">
        <f>IF(B70="EV/sales",1,IF(B70="EV/EBIT",2,IF(B70="EV/EBITDA",IF(Valuation!E73="adjusted",4,3),IF(B70="P/E",5,6))))</f>
        <v/>
      </c>
      <c r="I70" s="47">
        <f>IF(AND(B70="P/E",Valuation!F73&lt;&gt;""),Valuation!F73*(1+$B$9),IF(AND(B70="FCF yield",Valuation!G73&lt;&gt;""),Valuation!G73*(1+$B$9),E70))</f>
        <v/>
      </c>
    </row>
    <row r="71">
      <c r="A71" s="17" t="inlineStr">
        <is>
          <t>Value per share at target date (weighted methods)</t>
        </is>
      </c>
      <c r="F71" s="6">
        <f>SUMPRODUCT(F67:F70,G67:G70)/SUM(G67:G70)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MCHP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N(Valuation!C87)</f>
        <v/>
      </c>
    </row>
    <row r="5">
      <c r="A5" t="inlineStr">
        <is>
          <t>Scenario Margin Δ</t>
        </is>
      </c>
      <c r="B5" s="12">
        <f>N(Valuation!D87)</f>
        <v/>
      </c>
    </row>
    <row r="6">
      <c r="A6" t="inlineStr">
        <is>
          <t>Scenario Multiple Δ (turns)</t>
        </is>
      </c>
      <c r="B6" s="48">
        <f>N(Valuation!E87)</f>
        <v/>
      </c>
    </row>
    <row r="7">
      <c r="A7" t="inlineStr">
        <is>
          <t>Scenario WACC Δ</t>
        </is>
      </c>
      <c r="B7" s="12">
        <f>N(Valuation!F87)</f>
        <v/>
      </c>
    </row>
    <row r="8">
      <c r="A8" t="inlineStr">
        <is>
          <t>Scenario Multiple %Δ</t>
        </is>
      </c>
      <c r="B8" s="12">
        <f>N(Valuation!G87)</f>
        <v/>
      </c>
    </row>
    <row r="9">
      <c r="A9" t="inlineStr">
        <is>
          <t>Scenario Stated EPS/FCF %Δ</t>
        </is>
      </c>
      <c r="B9" s="12">
        <f>N(Valuation!H87)</f>
        <v/>
      </c>
    </row>
    <row r="10">
      <c r="A10" t="inlineStr">
        <is>
          <t>Scenario Custom %Δ</t>
        </is>
      </c>
      <c r="B10" s="12">
        <f>N(Valuation!I87)</f>
        <v/>
      </c>
    </row>
    <row r="12">
      <c r="A12" t="inlineStr">
        <is>
          <t>WACC</t>
        </is>
      </c>
      <c r="B12" s="16">
        <f>Valuation!$B$52+B7</f>
        <v/>
      </c>
    </row>
    <row r="13">
      <c r="A13" t="inlineStr">
        <is>
          <t>Years from last FY end to target date</t>
        </is>
      </c>
      <c r="B13" s="46">
        <f>(Valuation!$B$46-Valuation!$B$50)/365.25</f>
        <v/>
      </c>
    </row>
    <row r="14">
      <c r="A14" t="inlineStr">
        <is>
          <t>Years from last FY end to balance date</t>
        </is>
      </c>
      <c r="B14" s="46">
        <f>(Valuation!$B$56-Valuation!$B$50)/365.25</f>
        <v/>
      </c>
    </row>
    <row r="15">
      <c r="A15" t="inlineStr">
        <is>
          <t>Years from last FY end to share count date</t>
        </is>
      </c>
      <c r="B15" s="46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Valuation!$B$50+ROUND(365.25*C19,0)</f>
        <v/>
      </c>
      <c r="D20" s="18">
        <f>Valuation!$B$50+ROUND(365.25*D19,0)</f>
        <v/>
      </c>
      <c r="E20" s="18">
        <f>Valuation!$B$50+ROUND(365.25*E19,0)</f>
        <v/>
      </c>
    </row>
    <row r="21">
      <c r="A21" t="inlineStr">
        <is>
          <t>Revenue growth</t>
        </is>
      </c>
      <c r="C21" s="16">
        <f>Model!E48+$B$4</f>
        <v/>
      </c>
      <c r="D21" s="16">
        <f>Model!F48+$B$4</f>
        <v/>
      </c>
      <c r="E21" s="16">
        <f>Model!G48+$B$4</f>
        <v/>
      </c>
    </row>
    <row r="22">
      <c r="A22" t="inlineStr">
        <is>
          <t>Revenue</t>
        </is>
      </c>
      <c r="B22" s="21">
        <f>Valuation!$B$51</f>
        <v/>
      </c>
      <c r="C22" s="21">
        <f>B22*(1+C21)</f>
        <v/>
      </c>
      <c r="D22" s="21">
        <f>C22*(1+D21)</f>
        <v/>
      </c>
      <c r="E22" s="21">
        <f>D22*(1+E21)</f>
        <v/>
      </c>
    </row>
    <row r="23">
      <c r="A23" t="inlineStr">
        <is>
          <t>EBIT margin</t>
        </is>
      </c>
      <c r="C23" s="16">
        <f>Model!E49+$B$5</f>
        <v/>
      </c>
      <c r="D23" s="16">
        <f>Model!F49+$B$5</f>
        <v/>
      </c>
      <c r="E23" s="16">
        <f>Model!G49+$B$5</f>
        <v/>
      </c>
    </row>
    <row r="24">
      <c r="A24" t="inlineStr">
        <is>
          <t>EBIT</t>
        </is>
      </c>
      <c r="C24" s="21">
        <f>C22*C23</f>
        <v/>
      </c>
      <c r="D24" s="21">
        <f>D22*D23</f>
        <v/>
      </c>
      <c r="E24" s="21">
        <f>E22*E23</f>
        <v/>
      </c>
    </row>
    <row r="25">
      <c r="A25" t="inlineStr">
        <is>
          <t>Tax rate</t>
        </is>
      </c>
      <c r="C25" s="16">
        <f>Model!E50</f>
        <v/>
      </c>
      <c r="D25" s="16">
        <f>Model!F50</f>
        <v/>
      </c>
      <c r="E25" s="16">
        <f>Model!G50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C22*Model!E51</f>
        <v/>
      </c>
      <c r="D27" s="21">
        <f>D22*Model!F51</f>
        <v/>
      </c>
      <c r="E27" s="21">
        <f>E22*Model!G51</f>
        <v/>
      </c>
    </row>
    <row r="28">
      <c r="A28" t="inlineStr">
        <is>
          <t>Capex</t>
        </is>
      </c>
      <c r="C28" s="21">
        <f>C22*Model!E52</f>
        <v/>
      </c>
      <c r="D28" s="21">
        <f>D22*Model!F52</f>
        <v/>
      </c>
      <c r="E28" s="21">
        <f>E22*Model!G52</f>
        <v/>
      </c>
    </row>
    <row r="29">
      <c r="A29" t="inlineStr">
        <is>
          <t>Working capital increase</t>
        </is>
      </c>
      <c r="C29" s="21">
        <f>Model!E53*(C22-B22)</f>
        <v/>
      </c>
      <c r="D29" s="21">
        <f>Model!F53*(D22-C22)</f>
        <v/>
      </c>
      <c r="E29" s="21">
        <f>Model!G53*(E22-D22)</f>
        <v/>
      </c>
    </row>
    <row r="30">
      <c r="A30" t="inlineStr">
        <is>
          <t>Stock comp</t>
        </is>
      </c>
      <c r="C30" s="21">
        <f>C22*Model!E54</f>
        <v/>
      </c>
      <c r="D30" s="21">
        <f>D22*Model!F54</f>
        <v/>
      </c>
      <c r="E30" s="21">
        <f>E22*Model!G54</f>
        <v/>
      </c>
    </row>
    <row r="31">
      <c r="A31" t="inlineStr">
        <is>
          <t>Free cash flow to firm</t>
        </is>
      </c>
      <c r="C31" s="21">
        <f>C26+C27-C28-C29-IF(AND(Valuation!$B$48="adjusted",Valuation!$B$49="cost"),C30*(1-C25),0)</f>
        <v/>
      </c>
      <c r="D31" s="21">
        <f>D26+D27-D28-D29-IF(AND(Valuation!$B$48="adjusted",Valuation!$B$49="cost"),D30*(1-D25),0)</f>
        <v/>
      </c>
      <c r="E31" s="21">
        <f>E26+E27-E28-E29-IF(AND(Valuation!$B$48="adjusted",Valuation!$B$49="cost"),E30*(1-E25),0)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C24+C27+C22*Model!E58</f>
        <v/>
      </c>
      <c r="D33" s="21">
        <f>D24+D27+D22*Model!F58</f>
        <v/>
      </c>
      <c r="E33" s="21">
        <f>E24+E27+E22*Model!G58</f>
        <v/>
      </c>
    </row>
    <row r="34">
      <c r="A34" t="inlineStr">
        <is>
          <t>Shareholder returns + other uses</t>
        </is>
      </c>
      <c r="C34" s="21">
        <f>C22*Model!E56+Model!E55+Model!E57</f>
        <v/>
      </c>
      <c r="D34" s="21">
        <f>D22*Model!F56+Model!F55+Model!F57</f>
        <v/>
      </c>
      <c r="E34" s="21">
        <f>E22*Model!G56+Model!G55+Model!G57</f>
        <v/>
      </c>
    </row>
    <row r="35">
      <c r="A35" t="inlineStr">
        <is>
          <t>Share of year after target date</t>
        </is>
      </c>
      <c r="C35" s="46">
        <f>IF(C19&lt;=$B$13,0,C19-MAX(C19-1,$B$13))</f>
        <v/>
      </c>
      <c r="D35" s="46">
        <f>IF(D19&lt;=$B$13,0,D19-MAX(D19-1,$B$13))</f>
        <v/>
      </c>
      <c r="E35" s="46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6">
        <f>MAX(0,MIN(C19,$B$13)-MAX(C19-1,$B$14))</f>
        <v/>
      </c>
      <c r="D37" s="46">
        <f>MAX(0,MIN(D19,$B$13)-MAX(D19-1,$B$14))</f>
        <v/>
      </c>
      <c r="E37" s="46">
        <f>MAX(0,MIN(E19,$B$13)-MAX(E19-1,$B$14))</f>
        <v/>
      </c>
    </row>
    <row r="38">
      <c r="A38" t="inlineStr">
        <is>
          <t>NTM weight at target date</t>
        </is>
      </c>
      <c r="C38" s="46">
        <f>MAX(0,MIN(C19,$B$13+1)-MAX(C19-1,$B$13))</f>
        <v/>
      </c>
      <c r="D38" s="46">
        <f>MAX(0,MIN(D19,$B$13+1)-MAX(D19-1,$B$13))</f>
        <v/>
      </c>
      <c r="E38" s="46">
        <f>MAX(0,MIN(E19,$B$13+1)-MAX(E19-1,$B$13))</f>
        <v/>
      </c>
    </row>
    <row r="39">
      <c r="A39" t="inlineStr">
        <is>
          <t>LTM weight at target date</t>
        </is>
      </c>
      <c r="B39" s="46">
        <f>MAX(0,MIN(0,$B$13)-MAX(-1,$B$13-1))</f>
        <v/>
      </c>
      <c r="C39" s="46">
        <f>MAX(0,MIN(C19,$B$13)-MAX(C19-1,$B$13-1))</f>
        <v/>
      </c>
      <c r="D39" s="46">
        <f>MAX(0,MIN(D19,$B$13)-MAX(D19-1,$B$13-1))</f>
        <v/>
      </c>
      <c r="E39" s="46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Valuation!$B$59*(1-$C$25)*MAX(Valuation!$B$57,0)*MAX($B$13-$B$14,0)</f>
        <v/>
      </c>
    </row>
    <row r="50">
      <c r="A50" t="inlineStr">
        <is>
          <t>Net debt at target date</t>
        </is>
      </c>
      <c r="B50" s="21">
        <f>IF(Valuation!$B$60="",Valuation!$B$57-B47+B49+B48,Valuation!$B$60)</f>
        <v/>
      </c>
    </row>
    <row r="51">
      <c r="A51" t="inlineStr">
        <is>
          <t>Minority interests</t>
        </is>
      </c>
      <c r="B51" s="21">
        <f>Valuation!$B$58</f>
        <v/>
      </c>
    </row>
    <row r="52">
      <c r="A52" t="inlineStr">
        <is>
          <t>Adjustments (probability-weighted)</t>
        </is>
      </c>
      <c r="B52" s="21" t="n">
        <v>0</v>
      </c>
    </row>
    <row r="53">
      <c r="A53" t="inlineStr">
        <is>
          <t>Diluted shares at target date (M)</t>
        </is>
      </c>
      <c r="B53" s="24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1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yield",Valuation!B71*(1-$B$8),Valuation!B71+IF(B68="EV/sales",0.1,1)*$B$6)</f>
        <v/>
      </c>
      <c r="D68">
        <f>Valuation!D71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Valuation!F71*(1+$B$9),C68*(E68-$B$54)/$B$53),IF(Valuation!G71&lt;&gt;"",Valuation!G71*(1+$B$9)/C68,(E68-IF(Valuation!H71,$B$54,0))/C68/$B$53))+$B$52/$B$53)</f>
        <v/>
      </c>
      <c r="G68" s="16">
        <f>Valuation!C71</f>
        <v/>
      </c>
      <c r="H68">
        <f>IF(B68="EV/sales",1,IF(B68="EV/EBIT",2,IF(B68="EV/EBITDA",IF(Valuation!E71="adjusted",4,3),IF(B68="P/E",5,6))))</f>
        <v/>
      </c>
      <c r="I68" s="47">
        <f>IF(AND(B68="P/E",Valuation!F71&lt;&gt;""),Valuation!F71*(1+$B$9),IF(AND(B68="FCF yield",Valuation!G71&lt;&gt;""),Valuation!G71*(1+$B$9),E68))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yield",Valuation!B72*(1-$B$8),Valuation!B72+IF(B69="EV/sales",0.1,1)*$B$6)</f>
        <v/>
      </c>
      <c r="D69">
        <f>Valuation!D72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Valuation!F72*(1+$B$9),C69*(E69-$B$54)/$B$53),IF(Valuation!G72&lt;&gt;"",Valuation!G72*(1+$B$9)/C69,(E69-IF(Valuation!H72,$B$54,0))/C69/$B$53))+$B$52/$B$53)</f>
        <v/>
      </c>
      <c r="G69" s="16">
        <f>Valuation!C72</f>
        <v/>
      </c>
      <c r="H69">
        <f>IF(B69="EV/sales",1,IF(B69="EV/EBIT",2,IF(B69="EV/EBITDA",IF(Valuation!E72="adjusted",4,3),IF(B69="P/E",5,6))))</f>
        <v/>
      </c>
      <c r="I69" s="47">
        <f>IF(AND(B69="P/E",Valuation!F72&lt;&gt;""),Valuation!F72*(1+$B$9),IF(AND(B69="FCF yield",Valuation!G72&lt;&gt;""),Valuation!G72*(1+$B$9),E69))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yield",Valuation!B73*(1-$B$8),Valuation!B73+IF(B70="EV/sales",0.1,1)*$B$6)</f>
        <v/>
      </c>
      <c r="D70">
        <f>Valuation!D73</f>
        <v/>
      </c>
      <c r="E70" s="21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Valuation!F73*(1+$B$9),C70*(E70-$B$54)/$B$53),IF(Valuation!G73&lt;&gt;"",Valuation!G73*(1+$B$9)/C70,(E70-IF(Valuation!H73,$B$54,0))/C70/$B$53))+$B$52/$B$53)</f>
        <v/>
      </c>
      <c r="G70" s="16">
        <f>Valuation!C73</f>
        <v/>
      </c>
      <c r="H70">
        <f>IF(B70="EV/sales",1,IF(B70="EV/EBIT",2,IF(B70="EV/EBITDA",IF(Valuation!E73="adjusted",4,3),IF(B70="P/E",5,6))))</f>
        <v/>
      </c>
      <c r="I70" s="47">
        <f>IF(AND(B70="P/E",Valuation!F73&lt;&gt;""),Valuation!F73*(1+$B$9),IF(AND(B70="FCF yield",Valuation!G73&lt;&gt;""),Valuation!G73*(1+$B$9),E70))</f>
        <v/>
      </c>
    </row>
    <row r="71">
      <c r="A71" s="17" t="inlineStr">
        <is>
          <t>Value per share at target date (weighted methods)</t>
        </is>
      </c>
      <c r="F71" s="6">
        <f>SUMPRODUCT(F67:F70,G67:G70)/SUM(G67:G70)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MCHP: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Fair value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agent 1</t>
        </is>
      </c>
      <c r="B4" s="9" t="n">
        <v>83.19215841731446</v>
      </c>
      <c r="C4" s="9" t="n">
        <v>84.53389798183095</v>
      </c>
      <c r="D4" s="9" t="n">
        <v>62.4611744049168</v>
      </c>
      <c r="E4" s="9" t="n">
        <v>111.435145543697</v>
      </c>
      <c r="F4" s="16" t="n">
        <v>0.1358</v>
      </c>
      <c r="G4" s="16" t="n">
        <v>0.33568</v>
      </c>
      <c r="H4" s="16" t="n">
        <v>0.3808</v>
      </c>
      <c r="I4" s="16" t="n">
        <v>0</v>
      </c>
      <c r="J4" s="16" t="n">
        <v>0</v>
      </c>
      <c r="K4" t="n">
        <v>3</v>
      </c>
      <c r="L4" t="inlineStr">
        <is>
          <t>P/E 19.0 (ntm); EV/EBITDA 15.5 (ntm)</t>
        </is>
      </c>
      <c r="M4" s="41" t="inlineStr">
        <is>
          <t>EV-based FCF leg (4.8% on EV, $82) carried as a custom leg; EV/EBITDA at 15.5x is the double-counted derating the supervisor harmonised to 16x; lowest NTM EPS ($4.50) with agent 2.</t>
        </is>
      </c>
    </row>
    <row r="5">
      <c r="A5" t="inlineStr">
        <is>
          <t>agent 2</t>
        </is>
      </c>
      <c r="B5" s="9" t="n">
        <v>83.44722786382054</v>
      </c>
      <c r="C5" s="9" t="n">
        <v>83.30371011214847</v>
      </c>
      <c r="D5" s="9" t="n">
        <v>61.4940017132911</v>
      </c>
      <c r="E5" s="9" t="n">
        <v>108.6531693109839</v>
      </c>
      <c r="F5" s="16" t="n">
        <v>0.1357</v>
      </c>
      <c r="G5" s="16" t="n">
        <v>0.33568</v>
      </c>
      <c r="H5" s="16" t="n">
        <v>0.3808</v>
      </c>
      <c r="I5" s="16" t="n">
        <v>0</v>
      </c>
      <c r="J5" s="16" t="n">
        <v>0</v>
      </c>
      <c r="K5" t="n">
        <v>3</v>
      </c>
      <c r="L5" t="inlineStr">
        <is>
          <t>P/E 19.0 (ntm); FCF yield 0.05 (ntm); EV/EBITDA 15.0 (ntm)</t>
        </is>
      </c>
      <c r="M5" s="41" t="inlineStr">
        <is>
          <t>EV/EBITDA at 15x ($75.7) double-counts the derating already in its 19x P/E (supervisor harmonised to 16x); capex at the current ~$90M/yr run-rate, lowest in the run (DCF only).</t>
        </is>
      </c>
    </row>
    <row r="6">
      <c r="A6" t="inlineStr">
        <is>
          <t>agent 3</t>
        </is>
      </c>
      <c r="B6" s="9" t="n">
        <v>85.46086108872485</v>
      </c>
      <c r="C6" s="9" t="n">
        <v>86.47703194729942</v>
      </c>
      <c r="D6" s="9" t="n">
        <v>64.11623976896566</v>
      </c>
      <c r="E6" s="9" t="n">
        <v>113.0442111909288</v>
      </c>
      <c r="F6" s="16" t="n">
        <v>0.1355</v>
      </c>
      <c r="G6" s="16" t="n">
        <v>0.33568</v>
      </c>
      <c r="H6" s="16" t="n">
        <v>0.3808</v>
      </c>
      <c r="I6" s="16" t="n">
        <v>0</v>
      </c>
      <c r="J6" s="16" t="n">
        <v>0</v>
      </c>
      <c r="K6" t="n">
        <v>3</v>
      </c>
      <c r="L6" t="inlineStr">
        <is>
          <t>P/E 18.5 (ntm); FCF yield 0.0475 (ntm); EV/EBITDA 15.0 (ntm)</t>
        </is>
      </c>
      <c r="M6" s="41" t="inlineStr">
        <is>
          <t>Highest FCF leg ($89.7 at a 4.75% yield, below the 5.0% the others and the supervisor use); EV/EBITDA at 15x.</t>
        </is>
      </c>
    </row>
    <row r="7">
      <c r="A7" t="inlineStr">
        <is>
          <t>agent 4</t>
        </is>
      </c>
      <c r="B7" s="9" t="n">
        <v>84.60654397483911</v>
      </c>
      <c r="C7" s="9" t="n">
        <v>84.33574393615076</v>
      </c>
      <c r="D7" s="9" t="n">
        <v>62.79431918624777</v>
      </c>
      <c r="E7" s="9" t="n">
        <v>109.4280518095784</v>
      </c>
      <c r="F7" s="16" t="n">
        <v>0.1358</v>
      </c>
      <c r="G7" s="16" t="n">
        <v>0.33568</v>
      </c>
      <c r="H7" s="16" t="n">
        <v>0.3808</v>
      </c>
      <c r="I7" s="16" t="n">
        <v>0</v>
      </c>
      <c r="J7" s="16" t="n">
        <v>0</v>
      </c>
      <c r="K7" t="n">
        <v>3</v>
      </c>
      <c r="L7" t="inlineStr">
        <is>
          <t>P/E 18.5 (ntm); FCF yield 0.05 (ntm); EV/EBITDA 14.0 (ntm)</t>
        </is>
      </c>
      <c r="M7" s="41" t="inlineStr">
        <is>
          <t>EV/EBITDA at 14x ($73 on FY28 EBITDA) is the harshest double-count; its $4.45 FY28 -&gt; $4.75 NTM EPS roll-forward implies ~14% FY29 growth, which lifts the engine's NTM-based EV/EBITDA leg to ~$78.</t>
        </is>
      </c>
    </row>
    <row r="8">
      <c r="A8" t="inlineStr">
        <is>
          <t>agent 5</t>
        </is>
      </c>
      <c r="B8" s="9" t="n">
        <v>84.78700007629055</v>
      </c>
      <c r="C8" s="9" t="n">
        <v>85.91577611812316</v>
      </c>
      <c r="D8" s="9" t="n">
        <v>64.08330261170707</v>
      </c>
      <c r="E8" s="9" t="n">
        <v>112.6688528141204</v>
      </c>
      <c r="F8" s="16" t="n">
        <v>0.1358</v>
      </c>
      <c r="G8" s="16" t="n">
        <v>0.33568</v>
      </c>
      <c r="H8" s="16" t="n">
        <v>0.3808</v>
      </c>
      <c r="I8" s="16" t="n">
        <v>0</v>
      </c>
      <c r="J8" s="16" t="n">
        <v>0</v>
      </c>
      <c r="K8" t="n">
        <v>3</v>
      </c>
      <c r="L8" t="inlineStr">
        <is>
          <t>P/E 18.5 (ntm); FCF yield 0.052 (ntm); EV/EBITDA 16.0 (ntm)</t>
        </is>
      </c>
      <c r="M8" s="41" t="inlineStr">
        <is>
          <t>FY28 FCF $2.6B (35% margin) above the run's $2.45B; otherwise closest to the reconciled set (16x EV/EBITDA, 18.5x on $4.55).</t>
        </is>
      </c>
    </row>
    <row r="9">
      <c r="A9" t="inlineStr">
        <is>
          <t>supervisor</t>
        </is>
      </c>
      <c r="B9" s="9" t="n">
        <v>85.32361434091128</v>
      </c>
      <c r="C9" s="9" t="n">
        <v>85.4015228801685</v>
      </c>
      <c r="D9" s="9" t="n">
        <v>63.67257065064347</v>
      </c>
      <c r="E9" s="9" t="n">
        <v>112.1864581734382</v>
      </c>
      <c r="F9" s="16" t="n">
        <v>0.1358</v>
      </c>
      <c r="G9" s="16" t="n">
        <v>0.33568</v>
      </c>
      <c r="H9" s="16" t="n">
        <v>0.3808</v>
      </c>
      <c r="I9" s="16" t="n">
        <v>0</v>
      </c>
      <c r="J9" s="16" t="n">
        <v>0</v>
      </c>
      <c r="K9" t="n">
        <v>3</v>
      </c>
      <c r="L9" t="inlineStr">
        <is>
          <t>P/E 18.75 (ntm); FCF yield 0.05 (ntm); EV/EBITDA 16.0 (ntm)</t>
        </is>
      </c>
      <c r="M9" s="4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MCHP: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41" t="inlineStr">
        <is>
          <t>base.revenue FY2026 (Mar-2026)</t>
        </is>
      </c>
      <c r="B4" t="inlineStr">
        <is>
          <t>4713.1</t>
        </is>
      </c>
      <c r="C4" t="inlineStr">
        <is>
          <t>reported</t>
        </is>
      </c>
      <c r="D4" t="inlineStr"/>
      <c r="E4" t="inlineStr">
        <is>
          <t>F3</t>
        </is>
      </c>
      <c r="F4" s="41" t="inlineStr">
        <is>
          <t>FY ending 2026-03-31 revenue, 10-K filed 2026-05-21. filled in (not stated in this set's original work): the run built from quarterly figures, not the FY2026 base.</t>
        </is>
      </c>
    </row>
    <row r="5">
      <c r="A5" s="41" t="inlineStr">
        <is>
          <t>base.fy_end</t>
        </is>
      </c>
      <c r="B5" t="inlineStr">
        <is>
          <t>2026-03-31</t>
        </is>
      </c>
      <c r="C5" t="inlineStr">
        <is>
          <t>reported</t>
        </is>
      </c>
      <c r="D5" t="inlineStr"/>
      <c r="E5" t="inlineStr">
        <is>
          <t>F3</t>
        </is>
      </c>
      <c r="F5" s="41" t="inlineStr">
        <is>
          <t>Last reported fiscal year end. filled in (not stated in this set's original work).</t>
        </is>
      </c>
    </row>
    <row r="6">
      <c r="A6" s="41" t="inlineStr">
        <is>
          <t>years[FY2027].revenue_growth</t>
        </is>
      </c>
      <c r="B6" t="inlineStr">
        <is>
          <t>0.33568</t>
        </is>
      </c>
      <c r="C6" t="inlineStr">
        <is>
          <t>estimate</t>
        </is>
      </c>
      <c r="D6" t="inlineStr">
        <is>
          <t>3</t>
        </is>
      </c>
      <c r="E6" t="inlineStr">
        <is>
          <t>F7</t>
        </is>
      </c>
      <c r="F6" s="41" t="inlineStr">
        <is>
          <t>filled in (not stated in this set's original work). FY2027 revenue 6,295.2 = Q1 FY27 actual 1,484.7 (F7) + 3 x Q2 FY27 guided midpoint 1,603.5 ($1,589-1,618M, 8-K Ex. 99.1), i.e. H2 held flat at the Q2 guide; / FY2026 4,713.1 - 1. No forecaster stated full-year FY27 revenue; FY27 sits before the horizon and its only role is the base for FY28.</t>
        </is>
      </c>
    </row>
    <row r="7">
      <c r="A7" s="41" t="inlineStr">
        <is>
          <t>years[FY2027].ebit_margin (non-GAAP)</t>
        </is>
      </c>
      <c r="B7" t="inlineStr">
        <is>
          <t>0.3808</t>
        </is>
      </c>
      <c r="C7" t="inlineStr">
        <is>
          <t>estimate</t>
        </is>
      </c>
      <c r="D7" t="inlineStr">
        <is>
          <t>3</t>
        </is>
      </c>
      <c r="E7" t="inlineStr"/>
      <c r="F7" s="41" t="inlineStr">
        <is>
          <t>filled in (not stated in this set's original work). (Q1 FY27 non-GAAP operating income 521.1 + 3 x 39.0% (Q2 guide 38.5-39.5% midpoint) x 1,603.5) / 6,295.2. Inert for the horizon value (before H).</t>
        </is>
      </c>
    </row>
    <row r="8">
      <c r="A8" s="41" t="inlineStr">
        <is>
          <t>years[FY2027].tax_rate (non-GAAP)</t>
        </is>
      </c>
      <c r="B8" t="inlineStr">
        <is>
          <t>0.075</t>
        </is>
      </c>
      <c r="C8" t="inlineStr">
        <is>
          <t>guidance</t>
        </is>
      </c>
      <c r="D8" t="inlineStr">
        <is>
          <t>3</t>
        </is>
      </c>
      <c r="E8" t="inlineStr"/>
      <c r="F8" s="41" t="inlineStr">
        <is>
          <t>filled in (not stated in this set's original work). FY27 non-GAAP tax guided ~7.5% (Q2 guide $42.2-44.3M on $562.2-590.7M pretax; Q1 actual 7.5%).</t>
        </is>
      </c>
    </row>
    <row r="9">
      <c r="A9" s="41" t="inlineStr">
        <is>
          <t>years[FY2028].revenue_growth</t>
        </is>
      </c>
      <c r="B9" t="inlineStr">
        <is>
          <t>0.1755</t>
        </is>
      </c>
      <c r="C9" t="inlineStr">
        <is>
          <t>estimate</t>
        </is>
      </c>
      <c r="D9" t="inlineStr">
        <is>
          <t>6</t>
        </is>
      </c>
      <c r="E9" t="inlineStr"/>
      <c r="F9" s="41" t="inlineStr">
        <is>
          <t>FY2028 (Mar-2028) revenue 7,400 (forecasters' median of 7,300 / 7,300 / 7,500 / 7,400 / 7,400, not settled by the supervisor; FY28 consensus $7.43B (source 6)) / FY2027 6,295.2 - 1.</t>
        </is>
      </c>
    </row>
    <row r="10">
      <c r="A10" s="41" t="inlineStr">
        <is>
          <t>years[FY2028].ebit_margin (non-GAAP operating margin)</t>
        </is>
      </c>
      <c r="B10" t="inlineStr">
        <is>
          <t>0.4</t>
        </is>
      </c>
      <c r="C10" t="inlineStr">
        <is>
          <t>estimate</t>
        </is>
      </c>
      <c r="D10" t="inlineStr">
        <is>
          <t>3, 9</t>
        </is>
      </c>
      <c r="E10" t="inlineStr"/>
      <c r="F10" s="41" t="inlineStr">
        <is>
          <t>Forecasters' median (the supervisor did not settle this driver): agents 40% / 39.5% / 40% / 40% / 39.5% -&gt; 40%; Q2 FY27 guide 38.5-39.5%, through-cycle model 40%.</t>
        </is>
      </c>
    </row>
    <row r="11">
      <c r="A11" s="41" t="inlineStr">
        <is>
          <t>years[FY2028].tax_rate (non-GAAP)</t>
        </is>
      </c>
      <c r="B11" t="inlineStr">
        <is>
          <t>0.08</t>
        </is>
      </c>
      <c r="C11" t="inlineStr">
        <is>
          <t>estimate</t>
        </is>
      </c>
      <c r="D11" t="inlineStr">
        <is>
          <t>3</t>
        </is>
      </c>
      <c r="E11" t="inlineStr"/>
      <c r="F11" s="41" t="inlineStr">
        <is>
          <t>Supervisor's fair value build: "~8% tax" (an estimate: FY27 guided ~7.5%, ~0.5pp cushion for unguided FY28; citation gate).</t>
        </is>
      </c>
    </row>
    <row r="12">
      <c r="A12" s="41" t="inlineStr">
        <is>
          <t>years[FY2028].da_pct_rev (depreciation)</t>
        </is>
      </c>
      <c r="B12" t="inlineStr">
        <is>
          <t>0.0274</t>
        </is>
      </c>
      <c r="C12" t="inlineStr">
        <is>
          <t>estimate</t>
        </is>
      </c>
      <c r="D12" t="inlineStr">
        <is>
          <t>3, 8</t>
        </is>
      </c>
      <c r="E12" t="inlineStr"/>
      <c r="F12" s="41" t="inlineStr">
        <is>
          <t>Forecasters' median (the supervisor did not settle this driver): depreciation as % of FY28 revenue, agents 0.0274 / 0.0274 / 0.0267 / 0.0400 / 0.0374. With the 40% margin this gives FY28 EBITDA ~3,163 and NTM EBITDA at Sep-2027 ~3,228, the supervisor's "~$3.2B".</t>
        </is>
      </c>
    </row>
    <row r="13">
      <c r="A13" s="41" t="inlineStr">
        <is>
          <t>years[FY2028].capex_pct_rev</t>
        </is>
      </c>
      <c r="B13" t="inlineStr">
        <is>
          <t>0.01689</t>
        </is>
      </c>
      <c r="C13" t="inlineStr">
        <is>
          <t>estimate</t>
        </is>
      </c>
      <c r="D13" t="inlineStr">
        <is>
          <t>3</t>
        </is>
      </c>
      <c r="E13" t="inlineStr"/>
      <c r="F13" s="41" t="inlineStr">
        <is>
          <t>Forecasters' median (the supervisor did not settle this driver): agents 0.0171 / 0.0123 / 0.0160 / 0.0170 / 0.0169 (agent 4 filled from the fact pack). Feeds only the DCF (weight 0).</t>
        </is>
      </c>
    </row>
    <row r="14">
      <c r="A14" s="41" t="inlineStr">
        <is>
          <t>years[FY2028].nwc_pct_incr_rev</t>
        </is>
      </c>
      <c r="B14" t="inlineStr">
        <is>
          <t>0.1245</t>
        </is>
      </c>
      <c r="C14" t="inlineStr">
        <is>
          <t>estimate</t>
        </is>
      </c>
      <c r="D14" t="inlineStr"/>
      <c r="E14" t="inlineStr"/>
      <c r="F14" s="41" t="inlineStr">
        <is>
          <t>filled in (not stated in this set's original work): agent 3's stated ~$150M FY28 working-capital build over its revenue increase (= 0.1245), the only figure in the run. Feeds only the DCF (weight 0).</t>
        </is>
      </c>
    </row>
    <row r="15">
      <c r="A15" s="41" t="inlineStr">
        <is>
          <t>years[FY2027-28].sbc_pct_rev</t>
        </is>
      </c>
      <c r="B15" t="inlineStr">
        <is>
          <t>0.0542</t>
        </is>
      </c>
      <c r="C15" t="inlineStr">
        <is>
          <t>reported</t>
        </is>
      </c>
      <c r="D15" t="inlineStr"/>
      <c r="E15" t="inlineStr">
        <is>
          <t>F46, F6</t>
        </is>
      </c>
      <c r="F15" s="41" t="inlineStr">
        <is>
          <t>filled in (not stated in this set's original work). SBC TTM to Jun-2026 277.5 / revenue TTM 5,122.3. Counted once, as a cost in the DCF FCFF (sbc_treatment cost); the P/E and FCF legs are on the company's non-GAAP basis, as the forecaster valued them, with the share count held at its 575M.</t>
        </is>
      </c>
    </row>
    <row r="16">
      <c r="A16" s="41" t="inlineStr">
        <is>
          <t>years[*].shareholder_returns</t>
        </is>
      </c>
      <c r="B16" t="inlineStr">
        <is>
          <t>0.0</t>
        </is>
      </c>
      <c r="C16" t="inlineStr">
        <is>
          <t>judgment</t>
        </is>
      </c>
      <c r="D16" t="inlineStr"/>
      <c r="E16" t="inlineStr"/>
      <c r="F16" s="41" t="inlineStr">
        <is>
          <t>Not used: net debt at the horizon is the supervisor's ~$3.8B, already after ~$1.1B/yr common + preferred dividends and no buybacks.</t>
        </is>
      </c>
    </row>
    <row r="17">
      <c r="A17" s="41" t="inlineStr">
        <is>
          <t>years[FY2029].revenue_growth</t>
        </is>
      </c>
      <c r="B17" t="inlineStr">
        <is>
          <t>0.0419</t>
        </is>
      </c>
      <c r="C17" t="inlineStr">
        <is>
          <t>estimate</t>
        </is>
      </c>
      <c r="D17" t="inlineStr">
        <is>
          <t>6</t>
        </is>
      </c>
      <c r="E17" t="inlineStr"/>
      <c r="F17" s="41" t="inlineStr">
        <is>
          <t>Forecasters' median (the supervisor did not settle this driver): FY29 growth implied by each forecaster's own FY28 -&gt; NTM roll-forward, 0.0419 / 0.0474 / 0.0342 / 0.1385 / 0.0344. The supervisor's NTM EPS of $4.55-4.65 vs FY28 consensus $4.58 is consistent with it.</t>
        </is>
      </c>
    </row>
    <row r="18">
      <c r="A18" s="41" t="inlineStr">
        <is>
          <t>terminal.growth</t>
        </is>
      </c>
      <c r="B18" t="inlineStr">
        <is>
          <t>0.0</t>
        </is>
      </c>
      <c r="C18" t="inlineStr">
        <is>
          <t>judgment</t>
        </is>
      </c>
      <c r="D18" t="inlineStr"/>
      <c r="E18" t="inlineStr"/>
      <c r="F18" s="41" t="inlineStr">
        <is>
          <t>filled in (not stated in this set's original work): no terminal growth in the original work; zero, because the capitalisation rate below is the forecaster's FCF yield, which already nets growth (yield = r - g).</t>
        </is>
      </c>
    </row>
    <row r="19">
      <c r="A19" s="41" t="inlineStr">
        <is>
          <t>discount_rate.wacc</t>
        </is>
      </c>
      <c r="B19" t="inlineStr">
        <is>
          <t>0.1358</t>
        </is>
      </c>
      <c r="C19" t="inlineStr">
        <is>
          <t>estimate</t>
        </is>
      </c>
      <c r="D19" t="inlineStr">
        <is>
          <t>12</t>
        </is>
      </c>
      <c r="E19" t="inlineStr"/>
      <c r="F19" s="41" t="inlineStr">
        <is>
          <t>filled in (not stated in this set's original work): cost of equity 0.1462 = T-bill 0.0412 + beta 2.10 x 5% (the price target's market leg, 2026-09-25); after-tax debt 0.0474 x (1 - 0.075) on net debt and minorities 5,089 vs equity 45,192 (574.30M x $78.69) -&gt; WACC 0.1358</t>
        </is>
      </c>
    </row>
    <row r="20">
      <c r="A20" s="41" t="inlineStr">
        <is>
          <t>balance.net_debt (2026-06-30)</t>
        </is>
      </c>
      <c r="B20" t="inlineStr">
        <is>
          <t>5089.0</t>
        </is>
      </c>
      <c r="C20" t="inlineStr">
        <is>
          <t>reported</t>
        </is>
      </c>
      <c r="D20" t="inlineStr">
        <is>
          <t>3, 8</t>
        </is>
      </c>
      <c r="E20" t="inlineStr">
        <is>
          <t>F101, F95, F94</t>
        </is>
      </c>
      <c r="F20" s="41" t="inlineStr">
        <is>
          <t>Long-term debt 5,361.3 - cash 272.3 = 5,089.0 (the run's "$5.09B at Jun-2026").</t>
        </is>
      </c>
    </row>
    <row r="21">
      <c r="A21" s="41" t="inlineStr">
        <is>
          <t>balance.as_of</t>
        </is>
      </c>
      <c r="B21" t="inlineStr">
        <is>
          <t>2026-06-30</t>
        </is>
      </c>
      <c r="C21" t="inlineStr">
        <is>
          <t>reported</t>
        </is>
      </c>
      <c r="D21" t="inlineStr">
        <is>
          <t>3, 8</t>
        </is>
      </c>
      <c r="E21" t="inlineStr">
        <is>
          <t>F95, F94</t>
        </is>
      </c>
      <c r="F21" s="41" t="inlineStr">
        <is>
          <t>Balance-sheet date of the 10-Q. filled in (not stated in this set's original work) (date only).</t>
        </is>
      </c>
    </row>
    <row r="22">
      <c r="A22" s="41" t="inlineStr">
        <is>
          <t>balance.minorities</t>
        </is>
      </c>
      <c r="B22" t="inlineStr">
        <is>
          <t>0.0</t>
        </is>
      </c>
      <c r="C22" t="inlineStr">
        <is>
          <t>judgment</t>
        </is>
      </c>
      <c r="D22" t="inlineStr"/>
      <c r="E22" t="inlineStr"/>
      <c r="F22" s="41" t="inlineStr">
        <is>
          <t>filled in (not stated in this set's original work): none in the original work; the Series A mandatory convertible preferred is carried as 23.8M as-converted shares inside the 575M, not as a claim.</t>
        </is>
      </c>
    </row>
    <row r="23">
      <c r="A23" s="41" t="inlineStr">
        <is>
          <t>balance.interest_rate</t>
        </is>
      </c>
      <c r="B23" t="inlineStr">
        <is>
          <t>0.0474</t>
        </is>
      </c>
      <c r="C23" t="inlineStr">
        <is>
          <t>estimate</t>
        </is>
      </c>
      <c r="D23" t="inlineStr">
        <is>
          <t>3, 8</t>
        </is>
      </c>
      <c r="E23" t="inlineStr"/>
      <c r="F23" s="41" t="inlineStr">
        <is>
          <t>FY2028 interest ~$180M (forecasters' median: 180 / 175 / 170 / 180 / 180) / Sep-2027 net debt 3,800. Feeds no leg here (stated EPS, FCF per share and net debt).</t>
        </is>
      </c>
    </row>
    <row r="24">
      <c r="A24" s="41" t="inlineStr">
        <is>
          <t>balance.net_debt_horizon (Sep-2027)</t>
        </is>
      </c>
      <c r="B24" t="inlineStr">
        <is>
          <t>3800.0</t>
        </is>
      </c>
      <c r="C24" t="inlineStr">
        <is>
          <t>estimate</t>
        </is>
      </c>
      <c r="D24" t="inlineStr">
        <is>
          <t>3, 8</t>
        </is>
      </c>
      <c r="E24" t="inlineStr">
        <is>
          <t>F101</t>
        </is>
      </c>
      <c r="F24" s="41" t="inlineStr">
        <is>
          <t>$5.09B at Jun-2026 less ~$250-300M/qtr paydown after ~$1.1B/yr common + preferred dividends = ~$3.8B (5.09 - 5 x ~0.26), the supervisor's and every forecaster's figure.</t>
        </is>
      </c>
    </row>
    <row r="25">
      <c r="A25" s="41" t="inlineStr">
        <is>
          <t>shares.diluted_now (non-GAAP diluted, Q1 FY27)</t>
        </is>
      </c>
      <c r="B25" t="inlineStr">
        <is>
          <t>574.3</t>
        </is>
      </c>
      <c r="C25" t="inlineStr">
        <is>
          <t>reported</t>
        </is>
      </c>
      <c r="D25" t="inlineStr">
        <is>
          <t>3</t>
        </is>
      </c>
      <c r="E25" t="inlineStr">
        <is>
          <t>F33</t>
        </is>
      </c>
      <c r="F25" s="41" t="inlineStr">
        <is>
          <t>550.5M GAAP diluted (F33) + 23.8M Series A mandatory-convertible as-converted shares (8-K Ex. 99.1) = 574.3M.</t>
        </is>
      </c>
    </row>
    <row r="26">
      <c r="A26" s="41" t="inlineStr">
        <is>
          <t>shares.horizon</t>
        </is>
      </c>
      <c r="B26" t="inlineStr">
        <is>
          <t>575.0</t>
        </is>
      </c>
      <c r="C26" t="inlineStr">
        <is>
          <t>estimate</t>
        </is>
      </c>
      <c r="D26" t="inlineStr">
        <is>
          <t>3</t>
        </is>
      </c>
      <c r="E26" t="inlineStr"/>
      <c r="F26" s="41" t="inlineStr">
        <is>
          <t>575M non-GAAP diluted shares, the supervisor's and every forecaster's base for every method; no net buyback or dilution assumed (annual_change 0). More shares issue below ~$62.5 (bear-case drag only).</t>
        </is>
      </c>
    </row>
    <row r="27">
      <c r="A27" s="41" t="inlineStr">
        <is>
          <t>horizon_multiples[P/E].eps (NTM at Sep-2027, non-GAAP)</t>
        </is>
      </c>
      <c r="B27" t="inlineStr">
        <is>
          <t>4.6</t>
        </is>
      </c>
      <c r="C27" t="inlineStr">
        <is>
          <t>estimate</t>
        </is>
      </c>
      <c r="D27" t="inlineStr">
        <is>
          <t>6</t>
        </is>
      </c>
      <c r="E27" t="inlineStr"/>
      <c r="F27" s="41" t="inlineStr">
        <is>
          <t>Supervisor: NTM EPS ~$4.55-4.65 at Sep-2027 (575M shares, ~8% tax, light haircut to consensus): midpoint $4.60. Settled disagreement: agents' $4.50-4.75 left as is, all within ~5% of the consensus roll-forward (~$4.7-4.8).</t>
        </is>
      </c>
    </row>
    <row r="28">
      <c r="A28" s="41" t="inlineStr">
        <is>
          <t>horizon_multiples[P/E].value</t>
        </is>
      </c>
      <c r="B28" t="inlineStr">
        <is>
          <t>18.75</t>
        </is>
      </c>
      <c r="C28" t="inlineStr">
        <is>
          <t>judgment</t>
        </is>
      </c>
      <c r="D28" t="inlineStr">
        <is>
          <t>12</t>
        </is>
      </c>
      <c r="E28" t="inlineStr"/>
      <c r="F28" s="41" t="inlineStr">
        <is>
          <t>Supervisor: 18.5-19x NTM, midpoint 18.75x -&gt; P/E leg 86.25 (gate-verified). Transcribed as the supervisor chose it; the citation gate notes that on NTM EPS the NXPI-ON range is ~13.7-18.5x (TXN ~27.6x, ADI ~24.6x), so 18.5-19x sits at the top of it (on current-year EPS NXPI 15.8x, ON 24.1x).</t>
        </is>
      </c>
    </row>
    <row r="29">
      <c r="A29" s="41" t="inlineStr">
        <is>
          <t>horizon_multiples[P/E].weight</t>
        </is>
      </c>
      <c r="B29" t="inlineStr">
        <is>
          <t>0.5</t>
        </is>
      </c>
      <c r="C29" t="inlineStr">
        <is>
          <t>judgment</t>
        </is>
      </c>
      <c r="D29" t="inlineStr"/>
      <c r="E29" t="inlineStr"/>
      <c r="F29" s="41" t="inlineStr">
        <is>
          <t>The supervisor's leg weight (about 0.5/0.3/0.2).</t>
        </is>
      </c>
    </row>
    <row r="30">
      <c r="A30" s="41" t="inlineStr">
        <is>
          <t>horizon_multiples[FCF yield].fcf_per_share</t>
        </is>
      </c>
      <c r="B30" t="inlineStr">
        <is>
          <t>4.26</t>
        </is>
      </c>
      <c r="C30" t="inlineStr">
        <is>
          <t>estimate</t>
        </is>
      </c>
      <c r="D30" t="inlineStr">
        <is>
          <t>3</t>
        </is>
      </c>
      <c r="E30" t="inlineStr"/>
      <c r="F30" s="41" t="inlineStr">
        <is>
          <t>Supervisor: FY28 FCF ~$2.45-2.6B (after interest, before the ~$111M preferred dividend) over 575M as-converted shares; the verified $85.2 blend input uses $2.45B -&gt; 2.45 / 0.575 = $4.26 (range to $4.52 at $2.6B).</t>
        </is>
      </c>
    </row>
    <row r="31">
      <c r="A31" s="41" t="inlineStr">
        <is>
          <t>horizon_multiples[FCF yield].value</t>
        </is>
      </c>
      <c r="B31" t="inlineStr">
        <is>
          <t>0.05</t>
        </is>
      </c>
      <c r="C31" t="inlineStr">
        <is>
          <t>judgment</t>
        </is>
      </c>
      <c r="D31" t="inlineStr">
        <is>
          <t>12</t>
        </is>
      </c>
      <c r="E31" t="inlineStr"/>
      <c r="F31" s="41" t="inlineStr">
        <is>
          <t>Supervisor: 5.0-5.2% required equity yield; 5.0% with $4.26 gives the $85.2 leg in its verified blend (2.45 / 0.05 / 0.575); no net-debt deduction (equity basis). TTM FCF yield NXPI 4.7%, ON 5.0% (gate rebuild).</t>
        </is>
      </c>
    </row>
    <row r="32">
      <c r="A32" s="41" t="inlineStr">
        <is>
          <t>horizon_multiples[FCF yield].weight</t>
        </is>
      </c>
      <c r="B32" t="inlineStr">
        <is>
          <t>0.3</t>
        </is>
      </c>
      <c r="C32" t="inlineStr">
        <is>
          <t>judgment</t>
        </is>
      </c>
      <c r="D32" t="inlineStr"/>
      <c r="E32" t="inlineStr"/>
      <c r="F32" s="41" t="inlineStr">
        <is>
          <t>The supervisor's leg weight (about 0.5/0.3/0.2).</t>
        </is>
      </c>
    </row>
    <row r="33">
      <c r="A33" s="41" t="inlineStr">
        <is>
          <t>horizon_multiples[EV/EBITDA].value</t>
        </is>
      </c>
      <c r="B33" t="inlineStr">
        <is>
          <t>16.0</t>
        </is>
      </c>
      <c r="C33" t="inlineStr">
        <is>
          <t>judgment</t>
        </is>
      </c>
      <c r="D33" t="inlineStr">
        <is>
          <t>12</t>
        </is>
      </c>
      <c r="E33" t="inlineStr"/>
      <c r="F33" s="41" t="inlineStr">
        <is>
          <t>Supervisor's settled disagreement: harmonised at ~16x, because at 575M shares and ~$3.8B net debt the 18.5-19x P/E implies ~16-17x EBITDA, so the agents' 14-15.5x double-counts the derating.</t>
        </is>
      </c>
    </row>
    <row r="34">
      <c r="A34" s="41" t="inlineStr">
        <is>
          <t>horizon_multiples[EV/EBITDA].weight</t>
        </is>
      </c>
      <c r="B34" t="inlineStr">
        <is>
          <t>0.2</t>
        </is>
      </c>
      <c r="C34" t="inlineStr">
        <is>
          <t>judgment</t>
        </is>
      </c>
      <c r="D34" t="inlineStr"/>
      <c r="E34" t="inlineStr"/>
      <c r="F34" s="41" t="inlineStr">
        <is>
          <t>The supervisor's leg weight (about 0.5/0.3/0.2).</t>
        </is>
      </c>
    </row>
    <row r="35">
      <c r="A35" s="41" t="inlineStr">
        <is>
          <t>horizon_multiples[EV/EBITDA] metric (NTM EBITDA at Sep-2027)</t>
        </is>
      </c>
      <c r="B35" t="inlineStr">
        <is>
          <t>~3,200 (engine NTM ~3,228)</t>
        </is>
      </c>
      <c r="C35" t="inlineStr">
        <is>
          <t>estimate</t>
        </is>
      </c>
      <c r="D35" t="inlineStr">
        <is>
          <t>3, 8</t>
        </is>
      </c>
      <c r="E35" t="inlineStr"/>
      <c r="F35" s="41" t="inlineStr">
        <is>
          <t>Supervisor: "~16x on ~$3.2B EBITDA" (non-GAAP op income + depreciation). The engine's NTM EBITDA at Sep-2027 is ~3,228 from the median drivers.</t>
        </is>
      </c>
    </row>
    <row r="36">
      <c r="A36" s="41" t="inlineStr">
        <is>
          <t>scenarios.bear.prob</t>
        </is>
      </c>
      <c r="B36" t="inlineStr">
        <is>
          <t>0.2</t>
        </is>
      </c>
      <c r="C36" t="inlineStr">
        <is>
          <t>judgment</t>
        </is>
      </c>
      <c r="D36" t="inlineStr"/>
      <c r="E36" t="inlineStr"/>
      <c r="F36" s="41" t="inlineStr">
        <is>
          <t>Forecasters' median bear probability (0.2 / 0.22 / 0.2 / 0.2 / 0.2); supervisor: bear weight 20-22% agreed.</t>
        </is>
      </c>
    </row>
    <row r="37">
      <c r="A37" s="41" t="inlineStr">
        <is>
          <t>scenarios.bear.deltas</t>
        </is>
      </c>
      <c r="B37" t="inlineStr">
        <is>
          <t>{"eps_pct": -0.2444, "ebit_margin": -0.0978, "multiple": -3.5, "multiple_pct": -0.2295}</t>
        </is>
      </c>
      <c r="C37" t="inlineStr">
        <is>
          <t>judgment</t>
        </is>
      </c>
      <c r="D37" t="inlineStr"/>
      <c r="E37" t="inlineStr"/>
      <c r="F37" s="41" t="inlineStr">
        <is>
          <t>Forecasters' median bear deltas (the supervisor kept their scenarios; it agreed the bear weight and mid-2027 peak risk): eps_pct median of -0.2667 / -0.2444 / -0.2340 / -0.2737 / -0.2308, multiple median of -3.5 / -4 / -4 / -3.5 / -3.5; ebit_margin = eps_pct x 40%; multiple_pct = 1 - 18.75 / (18.75 + multiple). Forecasters' median scenario price $52.</t>
        </is>
      </c>
    </row>
    <row r="38">
      <c r="A38" s="41" t="inlineStr">
        <is>
          <t>scenarios.base.prob</t>
        </is>
      </c>
      <c r="B38" t="inlineStr">
        <is>
          <t>0.55</t>
        </is>
      </c>
      <c r="C38" t="inlineStr">
        <is>
          <t>judgment</t>
        </is>
      </c>
      <c r="D38" t="inlineStr"/>
      <c r="E38" t="inlineStr"/>
      <c r="F38" s="41" t="inlineStr">
        <is>
          <t>Forecasters' median base probability (0.55 / 0.53 / 0.55 / 0.55 / 0.55).</t>
        </is>
      </c>
    </row>
    <row r="39">
      <c r="A39" s="41" t="inlineStr">
        <is>
          <t>scenarios.base.deltas</t>
        </is>
      </c>
      <c r="B39" t="inlineStr">
        <is>
          <t>{}</t>
        </is>
      </c>
      <c r="C39" t="inlineStr">
        <is>
          <t>judgment</t>
        </is>
      </c>
      <c r="D39" t="inlineStr"/>
      <c r="E39" t="inlineStr"/>
      <c r="F39" s="41" t="inlineStr">
        <is>
          <t>Forecasters' median base deltas (the supervisor kept their scenarios; it agreed the bear weight and mid-2027 peak risk): eps_pct median of 0.0111 / 0.0111 / 0.0000 / 0.0000 / 0.0000, multiple median of 0 / 0 / 0.25 / 0 / 0.25; ebit_margin = eps_pct x 40%; multiple_pct = 1 - 18.75 / (18.75 + multiple). Forecasters' median scenario price $87.</t>
        </is>
      </c>
    </row>
    <row r="40">
      <c r="A40" s="41" t="inlineStr">
        <is>
          <t>scenarios.bull.prob</t>
        </is>
      </c>
      <c r="B40" t="inlineStr">
        <is>
          <t>0.25</t>
        </is>
      </c>
      <c r="C40" t="inlineStr">
        <is>
          <t>judgment</t>
        </is>
      </c>
      <c r="D40" t="inlineStr"/>
      <c r="E40" t="inlineStr"/>
      <c r="F40" s="41" t="inlineStr">
        <is>
          <t>Forecasters' median bull probability (0.25 / 0.25 / 0.25 / 0.25 / 0.25).</t>
        </is>
      </c>
    </row>
    <row r="41">
      <c r="A41" s="41" t="inlineStr">
        <is>
          <t>scenarios.bull.deltas</t>
        </is>
      </c>
      <c r="B41" t="inlineStr">
        <is>
          <t>{"eps_pct": 0.1702, "ebit_margin": 0.0681, "multiple": 3.5, "multiple_pct": 0.1573}</t>
        </is>
      </c>
      <c r="C41" t="inlineStr">
        <is>
          <t>judgment</t>
        </is>
      </c>
      <c r="D41" t="inlineStr"/>
      <c r="E41" t="inlineStr"/>
      <c r="F41" s="41" t="inlineStr">
        <is>
          <t>Forecasters' median bull deltas (the supervisor kept their scenarios; it agreed the bear weight and mid-2027 peak risk): eps_pct median of 0.2222 / 0.1111 / 0.1702 / 0.2000 / 0.1429, multiple median of 3.5 / 4.5 / 3.5 / 2.5 / 4; ebit_margin = eps_pct x 40%; multiple_pct = 1 - 18.75 / (18.75 + multiple). Forecasters' median scenario price $122.</t>
        </is>
      </c>
    </row>
    <row r="42">
      <c r="A42" s="41" t="inlineStr">
        <is>
          <t>scenario_vol</t>
        </is>
      </c>
      <c r="B42" t="inlineStr">
        <is>
          <t>0.31</t>
        </is>
      </c>
      <c r="C42" t="inlineStr">
        <is>
          <t>estimate</t>
        </is>
      </c>
      <c r="D42" t="inlineStr"/>
      <c r="E42" t="inlineStr"/>
      <c r="F42" s="41" t="inlineStr">
        <is>
          <t>filled in (not stated in this set's original work): not stated; least-squares fit of the engine's distribution to the supervisor's own ladder (the forecasters' mean).</t>
        </is>
      </c>
    </row>
    <row r="44">
      <c r="A44" s="3" t="inlineStr">
        <is>
          <t>#</t>
        </is>
      </c>
      <c r="B44" s="3" t="inlineStr">
        <is>
          <t>Source</t>
        </is>
      </c>
      <c r="C44" s="3" t="inlineStr">
        <is>
          <t>Date</t>
        </is>
      </c>
      <c r="D44" s="3" t="inlineStr">
        <is>
          <t>Link</t>
        </is>
      </c>
    </row>
    <row r="45">
      <c r="A45" t="n">
        <v>1</v>
      </c>
      <c r="B45" s="41" t="inlineStr">
        <is>
          <t>Microchip Technology (MCHP) Stock Is Up, What You Need To Know (StockStory via FinancialContent)</t>
        </is>
      </c>
      <c r="C45" t="inlineStr">
        <is>
          <t>2026-09-25</t>
        </is>
      </c>
      <c r="D45" t="inlineStr">
        <is>
          <t>https://markets.financialcontent.com/stocks/article/stockstory-2026-9-25-microchip-technology-mchp-stock-is-up-what-you-need-to-know</t>
        </is>
      </c>
    </row>
    <row r="46">
      <c r="A46" t="n">
        <v>2</v>
      </c>
      <c r="B46" s="41" t="inlineStr">
        <is>
          <t>Microchip Technology (MCHP) Stock Price &amp; Overview (StockAnalysis)</t>
        </is>
      </c>
      <c r="C46" t="inlineStr">
        <is>
          <t>2026-09-27</t>
        </is>
      </c>
      <c r="D46" t="inlineStr">
        <is>
          <t>https://stockanalysis.com/stocks/mchp/</t>
        </is>
      </c>
    </row>
    <row r="47">
      <c r="A47" t="n">
        <v>3</v>
      </c>
      <c r="B47" s="41" t="inlineStr">
        <is>
          <t>Microchip Q1 FY2027 results press release (8-K Ex. 99.1)</t>
        </is>
      </c>
      <c r="C47" t="inlineStr">
        <is>
          <t>2026-08-06</t>
        </is>
      </c>
      <c r="D47" t="inlineStr">
        <is>
          <t>https://www.sec.gov/Archives/edgar/data/827054/000082705426000037/exhibit991q1fy27.htm</t>
        </is>
      </c>
    </row>
    <row r="48">
      <c r="A48" t="n">
        <v>4</v>
      </c>
      <c r="B48" s="41" t="inlineStr">
        <is>
          <t>Microchip at Citi 2026 Global TMT Conference (Investing.com)</t>
        </is>
      </c>
      <c r="C48" t="inlineStr">
        <is>
          <t>2026-09-09</t>
        </is>
      </c>
      <c r="D48" t="inlineStr">
        <is>
          <t>https://uk.investing.com/news/stock-market-news/microchip-at-citi-2026-global-tmt-conference-recovery-broadens-93CH-4863475</t>
        </is>
      </c>
    </row>
    <row r="49">
      <c r="A49" t="n">
        <v>5</v>
      </c>
      <c r="B49" s="41" t="inlineStr">
        <is>
          <t>Microchip IR Financial Results</t>
        </is>
      </c>
      <c r="C49" t="inlineStr">
        <is>
          <t>2026-09-27</t>
        </is>
      </c>
      <c r="D49" t="inlineStr">
        <is>
          <t>https://ir.microchip.com/financial-info/financial-results</t>
        </is>
      </c>
    </row>
    <row r="50">
      <c r="A50" t="n">
        <v>6</v>
      </c>
      <c r="B50" s="41" t="inlineStr">
        <is>
          <t>MCHP analyst estimates (StockAnalysis, S&amp;P Global consensus; FY28 EPS $4.58, revenue $7.43B; data updated 2026-09-18)</t>
        </is>
      </c>
      <c r="C50" t="inlineStr">
        <is>
          <t>2026-09-18</t>
        </is>
      </c>
      <c r="D50" t="inlineStr">
        <is>
          <t>https://stockanalysis.com/stocks/mchp/forecast/</t>
        </is>
      </c>
    </row>
    <row r="51">
      <c r="A51" t="n">
        <v>7</v>
      </c>
      <c r="B51" s="41" t="inlineStr">
        <is>
          <t>MCHP price history (StockAnalysis): 2026-09-25 close $78.69</t>
        </is>
      </c>
      <c r="C51" t="inlineStr">
        <is>
          <t>2026-10-14</t>
        </is>
      </c>
      <c r="D51" t="inlineStr">
        <is>
          <t>https://stockanalysis.com/stocks/mchp/history/</t>
        </is>
      </c>
    </row>
    <row r="52">
      <c r="A52" t="n">
        <v>8</v>
      </c>
      <c r="B52" s="41" t="inlineStr">
        <is>
          <t>Microchip Form 10-Q, quarter ended June 30, 2026 (convertible preferred terms, depreciation, buyback authorization)</t>
        </is>
      </c>
      <c r="C52" t="inlineStr">
        <is>
          <t>2026-08-06</t>
        </is>
      </c>
      <c r="D52" t="inlineStr">
        <is>
          <t>https://www.sec.gov/Archives/edgar/data/827054/000082705426000038/mchp-20260630.htm</t>
        </is>
      </c>
    </row>
    <row r="53">
      <c r="A53" t="n">
        <v>9</v>
      </c>
      <c r="B53" s="41" t="inlineStr">
        <is>
          <t>Microchip at Citi 2026 Global TMT Conference (Investing.com transcript)</t>
        </is>
      </c>
      <c r="C53" t="inlineStr">
        <is>
          <t>2026-09-09</t>
        </is>
      </c>
      <c r="D53" t="inlineStr">
        <is>
          <t>https://www.investing.com/news/transcripts/microchip-at-citi-2026-global-tmt-conference-recovery-broadens-93CH-4894731</t>
        </is>
      </c>
    </row>
    <row r="54">
      <c r="A54" t="n">
        <v>10</v>
      </c>
      <c r="B54" s="41" t="inlineStr">
        <is>
          <t>Microchip Q1 FY2027 earnings call transcript (Motley Fool)</t>
        </is>
      </c>
      <c r="C54" t="inlineStr">
        <is>
          <t>2026-08-13</t>
        </is>
      </c>
      <c r="D54" t="inlineStr">
        <is>
          <t>https://www.fool.com/earnings/call-transcripts/2026/08/13/microchip-mchp-q1-2027-earnings-call-transcript/</t>
        </is>
      </c>
    </row>
    <row r="55">
      <c r="A55" t="n">
        <v>11</v>
      </c>
      <c r="B55" s="41" t="inlineStr">
        <is>
          <t>U.S. Treasury daily par yield curve rates, September 2026 (10-yr 5.17% on 2026-09-25)</t>
        </is>
      </c>
      <c r="C55" t="inlineStr">
        <is>
          <t>2026-09-25</t>
        </is>
      </c>
      <c r="D55" t="inlineStr">
        <is>
          <t>https://home.treasury.gov/resource-center/data-chart-center/interest-rates/TextView?type=daily_treasury_yield_curve&amp;field_tdr_date_value_month=202609</t>
        </is>
      </c>
    </row>
    <row r="56">
      <c r="A56" t="n">
        <v>12</v>
      </c>
      <c r="B56" s="41" t="inlineStr">
        <is>
          <t>NXP Semiconductors Form 10-Q, quarter ended June 28, 2026 (peer rebuild)</t>
        </is>
      </c>
      <c r="C56" t="inlineStr">
        <is>
          <t>2026-07-28</t>
        </is>
      </c>
      <c r="D56" t="inlineStr">
        <is>
          <t>https://www.sec.gov/Archives/edgar/data/1413447/000141344726000045/nxpi-20260628.htm</t>
        </is>
      </c>
    </row>
    <row r="57">
      <c r="A57" t="n">
        <v>13</v>
      </c>
      <c r="B57" s="41" t="inlineStr">
        <is>
          <t>Microchip Technology Acquires VORAGO Technologies (after the research date; not material)</t>
        </is>
      </c>
      <c r="C57" t="inlineStr">
        <is>
          <t>2026-10-09</t>
        </is>
      </c>
      <c r="D57" t="inlineStr">
        <is>
          <t>https://ir.microchip.com/news-events/press-releases/detail/1419/microchip-technology-acquires-vorago-technologies</t>
        </is>
      </c>
    </row>
    <row r="59">
      <c r="A59" s="3" t="inlineStr">
        <is>
          <t>Fact id</t>
        </is>
      </c>
      <c r="B59" s="3" t="inlineStr">
        <is>
          <t>Figure</t>
        </is>
      </c>
      <c r="C59" s="3" t="inlineStr">
        <is>
          <t>Value</t>
        </is>
      </c>
      <c r="D59" s="3" t="inlineStr">
        <is>
          <t>Filing</t>
        </is>
      </c>
    </row>
    <row r="60">
      <c r="A60" t="inlineStr">
        <is>
          <t>F1</t>
        </is>
      </c>
      <c r="B60" t="inlineStr">
        <is>
          <t>revenue FY ending 2024-03-31 (us-gaap:RevenueFromContractWithCustomerExcludingAssessedTax)</t>
        </is>
      </c>
      <c r="C60" s="47" t="n">
        <v>7634400000</v>
      </c>
      <c r="D60" t="inlineStr">
        <is>
          <t>https://www.sec.gov/Archives/edgar/data/827054/000082705426000016/</t>
        </is>
      </c>
    </row>
    <row r="61">
      <c r="A61" t="inlineStr">
        <is>
          <t>F2</t>
        </is>
      </c>
      <c r="B61" t="inlineStr">
        <is>
          <t>revenue FY ending 2025-03-31 (us-gaap:RevenueFromContractWithCustomerExcludingAssessedTax)</t>
        </is>
      </c>
      <c r="C61" s="47" t="n">
        <v>4401600000</v>
      </c>
      <c r="D61" t="inlineStr">
        <is>
          <t>https://www.sec.gov/Archives/edgar/data/827054/000082705426000016/</t>
        </is>
      </c>
    </row>
    <row r="62">
      <c r="A62" t="inlineStr">
        <is>
          <t>F3</t>
        </is>
      </c>
      <c r="B62" t="inlineStr">
        <is>
          <t>revenue FY ending 2026-03-31 (us-gaap:RevenueFromContractWithCustomerExcludingAssessedTax)</t>
        </is>
      </c>
      <c r="C62" s="47" t="n">
        <v>4713100000</v>
      </c>
      <c r="D62" t="inlineStr">
        <is>
          <t>https://www.sec.gov/Archives/edgar/data/827054/000082705426000016/</t>
        </is>
      </c>
    </row>
    <row r="63">
      <c r="A63" t="inlineStr">
        <is>
          <t>F4</t>
        </is>
      </c>
      <c r="B63" t="inlineStr">
        <is>
          <t>revenue YTD 2026-04-01 to 2026-06-30</t>
        </is>
      </c>
      <c r="C63" s="47" t="n">
        <v>1484700000</v>
      </c>
      <c r="D63" t="inlineStr">
        <is>
          <t>https://www.sec.gov/Archives/edgar/data/827054/000082705426000038/</t>
        </is>
      </c>
    </row>
    <row r="64">
      <c r="A64" t="inlineStr">
        <is>
          <t>F5</t>
        </is>
      </c>
      <c r="B64" t="inlineStr">
        <is>
          <t>revenue prior-year YTD 2025-04-01 to 2025-06-30</t>
        </is>
      </c>
      <c r="C64" s="47" t="n">
        <v>1075500000</v>
      </c>
      <c r="D64" t="inlineStr">
        <is>
          <t>https://www.sec.gov/Archives/edgar/data/827054/000082705426000038/</t>
        </is>
      </c>
    </row>
    <row r="65">
      <c r="A65" t="inlineStr">
        <is>
          <t>F6</t>
        </is>
      </c>
      <c r="B65" t="inlineStr">
        <is>
          <t>revenue TTM to 2026-06-30</t>
        </is>
      </c>
      <c r="C65" s="47" t="n">
        <v>5122300000</v>
      </c>
    </row>
    <row r="66">
      <c r="A66" t="inlineStr">
        <is>
          <t>F7</t>
        </is>
      </c>
      <c r="B66" t="inlineStr">
        <is>
          <t>revenue quarter 2026-04-01 to 2026-06-30</t>
        </is>
      </c>
      <c r="C66" s="47" t="n">
        <v>1484700000</v>
      </c>
      <c r="D66" t="inlineStr">
        <is>
          <t>https://www.sec.gov/Archives/edgar/data/827054/000082705426000038/</t>
        </is>
      </c>
    </row>
    <row r="67">
      <c r="A67" t="inlineStr">
        <is>
          <t>F8</t>
        </is>
      </c>
      <c r="B67" t="inlineStr">
        <is>
          <t>operating_income FY ending 2024-03-31 (us-gaap:OperatingIncomeLoss)</t>
        </is>
      </c>
      <c r="C67" s="47" t="n">
        <v>2571000000</v>
      </c>
      <c r="D67" t="inlineStr">
        <is>
          <t>https://www.sec.gov/Archives/edgar/data/827054/000082705426000016/</t>
        </is>
      </c>
    </row>
    <row r="68">
      <c r="A68" t="inlineStr">
        <is>
          <t>F9</t>
        </is>
      </c>
      <c r="B68" t="inlineStr">
        <is>
          <t>operating_income FY ending 2025-03-31 (us-gaap:OperatingIncomeLoss)</t>
        </is>
      </c>
      <c r="C68" s="47" t="n">
        <v>296300000</v>
      </c>
      <c r="D68" t="inlineStr">
        <is>
          <t>https://www.sec.gov/Archives/edgar/data/827054/000082705426000016/</t>
        </is>
      </c>
    </row>
    <row r="69">
      <c r="A69" t="inlineStr">
        <is>
          <t>F10</t>
        </is>
      </c>
      <c r="B69" t="inlineStr">
        <is>
          <t>operating_income FY ending 2026-03-31 (us-gaap:OperatingIncomeLoss)</t>
        </is>
      </c>
      <c r="C69" s="47" t="n">
        <v>490100000</v>
      </c>
      <c r="D69" t="inlineStr">
        <is>
          <t>https://www.sec.gov/Archives/edgar/data/827054/000082705426000016/</t>
        </is>
      </c>
    </row>
    <row r="70">
      <c r="A70" t="inlineStr">
        <is>
          <t>F11</t>
        </is>
      </c>
      <c r="B70" t="inlineStr">
        <is>
          <t>operating_income YTD 2026-04-01 to 2026-06-30</t>
        </is>
      </c>
      <c r="C70" s="47" t="n">
        <v>336800000</v>
      </c>
      <c r="D70" t="inlineStr">
        <is>
          <t>https://www.sec.gov/Archives/edgar/data/827054/000082705426000038/</t>
        </is>
      </c>
    </row>
    <row r="71">
      <c r="A71" t="inlineStr">
        <is>
          <t>F12</t>
        </is>
      </c>
      <c r="B71" t="inlineStr">
        <is>
          <t>operating_income prior-year YTD 2025-04-01 to 2025-06-30</t>
        </is>
      </c>
      <c r="C71" s="47" t="n">
        <v>32100000</v>
      </c>
      <c r="D71" t="inlineStr">
        <is>
          <t>https://www.sec.gov/Archives/edgar/data/827054/000082705426000038/</t>
        </is>
      </c>
    </row>
    <row r="72">
      <c r="A72" t="inlineStr">
        <is>
          <t>F13</t>
        </is>
      </c>
      <c r="B72" t="inlineStr">
        <is>
          <t>operating_income TTM to 2026-06-30</t>
        </is>
      </c>
      <c r="C72" s="47" t="n">
        <v>794800000</v>
      </c>
    </row>
    <row r="73">
      <c r="A73" t="inlineStr">
        <is>
          <t>F14</t>
        </is>
      </c>
      <c r="B73" t="inlineStr">
        <is>
          <t>operating_income quarter 2026-04-01 to 2026-06-30</t>
        </is>
      </c>
      <c r="C73" s="47" t="n">
        <v>336800000</v>
      </c>
      <c r="D73" t="inlineStr">
        <is>
          <t>https://www.sec.gov/Archives/edgar/data/827054/000082705426000038/</t>
        </is>
      </c>
    </row>
    <row r="74">
      <c r="A74" t="inlineStr">
        <is>
          <t>F15</t>
        </is>
      </c>
      <c r="B74" t="inlineStr">
        <is>
          <t>net_income FY ending 2024-03-31 (us-gaap:NetIncomeLoss)</t>
        </is>
      </c>
      <c r="C74" s="47" t="n">
        <v>1906900000</v>
      </c>
      <c r="D74" t="inlineStr">
        <is>
          <t>https://www.sec.gov/Archives/edgar/data/827054/000082705426000016/</t>
        </is>
      </c>
    </row>
    <row r="75">
      <c r="A75" t="inlineStr">
        <is>
          <t>F16</t>
        </is>
      </c>
      <c r="B75" t="inlineStr">
        <is>
          <t>net_income FY ending 2025-03-31 (us-gaap:NetIncomeLoss)</t>
        </is>
      </c>
      <c r="C75" s="47" t="n">
        <v>-500000</v>
      </c>
      <c r="D75" t="inlineStr">
        <is>
          <t>https://www.sec.gov/Archives/edgar/data/827054/000082705426000016/</t>
        </is>
      </c>
    </row>
    <row r="76">
      <c r="A76" t="inlineStr">
        <is>
          <t>F17</t>
        </is>
      </c>
      <c r="B76" t="inlineStr">
        <is>
          <t>net_income FY ending 2026-03-31 (us-gaap:NetIncomeLoss)</t>
        </is>
      </c>
      <c r="C76" s="47" t="n">
        <v>230000000</v>
      </c>
      <c r="D76" t="inlineStr">
        <is>
          <t>https://www.sec.gov/Archives/edgar/data/827054/000082705426000016/</t>
        </is>
      </c>
    </row>
    <row r="77">
      <c r="A77" t="inlineStr">
        <is>
          <t>F18</t>
        </is>
      </c>
      <c r="B77" t="inlineStr">
        <is>
          <t>net_income YTD 2026-04-01 to 2026-06-30</t>
        </is>
      </c>
      <c r="C77" s="47" t="n">
        <v>229800000</v>
      </c>
      <c r="D77" t="inlineStr">
        <is>
          <t>https://www.sec.gov/Archives/edgar/data/827054/000082705426000038/</t>
        </is>
      </c>
    </row>
    <row r="78">
      <c r="A78" t="inlineStr">
        <is>
          <t>F19</t>
        </is>
      </c>
      <c r="B78" t="inlineStr">
        <is>
          <t>net_income prior-year YTD 2025-04-01 to 2025-06-30</t>
        </is>
      </c>
      <c r="C78" s="47" t="n">
        <v>-18600000</v>
      </c>
      <c r="D78" t="inlineStr">
        <is>
          <t>https://www.sec.gov/Archives/edgar/data/827054/000082705426000038/</t>
        </is>
      </c>
    </row>
    <row r="79">
      <c r="A79" t="inlineStr">
        <is>
          <t>F20</t>
        </is>
      </c>
      <c r="B79" t="inlineStr">
        <is>
          <t>net_income TTM to 2026-06-30</t>
        </is>
      </c>
      <c r="C79" s="47" t="n">
        <v>478400000</v>
      </c>
    </row>
    <row r="80">
      <c r="A80" t="inlineStr">
        <is>
          <t>F21</t>
        </is>
      </c>
      <c r="B80" t="inlineStr">
        <is>
          <t>net_income quarter 2026-04-01 to 2026-06-30</t>
        </is>
      </c>
      <c r="C80" s="47" t="n">
        <v>229800000</v>
      </c>
      <c r="D80" t="inlineStr">
        <is>
          <t>https://www.sec.gov/Archives/edgar/data/827054/000082705426000038/</t>
        </is>
      </c>
    </row>
    <row r="81">
      <c r="A81" t="inlineStr">
        <is>
          <t>F22</t>
        </is>
      </c>
      <c r="B81" t="inlineStr">
        <is>
          <t>eps_diluted FY ending 2024-03-31 (us-gaap:EarningsPerShareDiluted)</t>
        </is>
      </c>
      <c r="C81" s="47" t="n">
        <v>3.48</v>
      </c>
      <c r="D81" t="inlineStr">
        <is>
          <t>https://www.sec.gov/Archives/edgar/data/827054/000082705426000016/</t>
        </is>
      </c>
    </row>
    <row r="82">
      <c r="A82" t="inlineStr">
        <is>
          <t>F23</t>
        </is>
      </c>
      <c r="B82" t="inlineStr">
        <is>
          <t>eps_diluted FY ending 2025-03-31 (us-gaap:EarningsPerShareDiluted)</t>
        </is>
      </c>
      <c r="C82" s="47" t="n">
        <v>-0.01</v>
      </c>
      <c r="D82" t="inlineStr">
        <is>
          <t>https://www.sec.gov/Archives/edgar/data/827054/000082705426000016/</t>
        </is>
      </c>
    </row>
    <row r="83">
      <c r="A83" t="inlineStr">
        <is>
          <t>F24</t>
        </is>
      </c>
      <c r="B83" t="inlineStr">
        <is>
          <t>eps_diluted FY ending 2026-03-31 (us-gaap:EarningsPerShareDiluted)</t>
        </is>
      </c>
      <c r="C83" s="47" t="n">
        <v>0.22</v>
      </c>
      <c r="D83" t="inlineStr">
        <is>
          <t>https://www.sec.gov/Archives/edgar/data/827054/000082705426000016/</t>
        </is>
      </c>
    </row>
    <row r="84">
      <c r="A84" t="inlineStr">
        <is>
          <t>F25</t>
        </is>
      </c>
      <c r="B84" t="inlineStr">
        <is>
          <t>eps_diluted YTD 2026-04-01 to 2026-06-30</t>
        </is>
      </c>
      <c r="C84" s="47" t="n">
        <v>0.37</v>
      </c>
      <c r="D84" t="inlineStr">
        <is>
          <t>https://www.sec.gov/Archives/edgar/data/827054/000082705426000038/</t>
        </is>
      </c>
    </row>
    <row r="85">
      <c r="A85" t="inlineStr">
        <is>
          <t>F26</t>
        </is>
      </c>
      <c r="B85" t="inlineStr">
        <is>
          <t>eps_diluted prior-year YTD 2025-04-01 to 2025-06-30</t>
        </is>
      </c>
      <c r="C85" s="47" t="n">
        <v>-0.09</v>
      </c>
      <c r="D85" t="inlineStr">
        <is>
          <t>https://www.sec.gov/Archives/edgar/data/827054/000082705426000038/</t>
        </is>
      </c>
    </row>
    <row r="86">
      <c r="A86" t="inlineStr">
        <is>
          <t>F27</t>
        </is>
      </c>
      <c r="B86" t="inlineStr">
        <is>
          <t>eps_diluted quarter 2026-04-01 to 2026-06-30</t>
        </is>
      </c>
      <c r="C86" s="47" t="n">
        <v>0.37</v>
      </c>
      <c r="D86" t="inlineStr">
        <is>
          <t>https://www.sec.gov/Archives/edgar/data/827054/000082705426000038/</t>
        </is>
      </c>
    </row>
    <row r="87">
      <c r="A87" t="inlineStr">
        <is>
          <t>F28</t>
        </is>
      </c>
      <c r="B87" t="inlineStr">
        <is>
          <t>diluted_shares_wavg FY ending 2024-03-31 (us-gaap:WeightedAverageNumberOfDilutedSharesOutstanding)</t>
        </is>
      </c>
      <c r="C87" s="47" t="n">
        <v>548000000</v>
      </c>
      <c r="D87" t="inlineStr">
        <is>
          <t>https://www.sec.gov/Archives/edgar/data/827054/000082705426000016/</t>
        </is>
      </c>
    </row>
    <row r="88">
      <c r="A88" t="inlineStr">
        <is>
          <t>F29</t>
        </is>
      </c>
      <c r="B88" t="inlineStr">
        <is>
          <t>diluted_shares_wavg FY ending 2025-03-31 (us-gaap:WeightedAverageNumberOfDilutedSharesOutstanding)</t>
        </is>
      </c>
      <c r="C88" s="47" t="n">
        <v>537300000</v>
      </c>
      <c r="D88" t="inlineStr">
        <is>
          <t>https://www.sec.gov/Archives/edgar/data/827054/000082705426000016/</t>
        </is>
      </c>
    </row>
    <row r="89">
      <c r="A89" t="inlineStr">
        <is>
          <t>F30</t>
        </is>
      </c>
      <c r="B89" t="inlineStr">
        <is>
          <t>diluted_shares_wavg FY ending 2026-03-31 (us-gaap:WeightedAverageNumberOfDilutedSharesOutstanding)</t>
        </is>
      </c>
      <c r="C89" s="47" t="n">
        <v>545200000</v>
      </c>
      <c r="D89" t="inlineStr">
        <is>
          <t>https://www.sec.gov/Archives/edgar/data/827054/000082705426000016/</t>
        </is>
      </c>
    </row>
    <row r="90">
      <c r="A90" t="inlineStr">
        <is>
          <t>F31</t>
        </is>
      </c>
      <c r="B90" t="inlineStr">
        <is>
          <t>diluted_shares_wavg YTD 2026-04-01 to 2026-06-30</t>
        </is>
      </c>
      <c r="C90" s="47" t="n">
        <v>550500000</v>
      </c>
      <c r="D90" t="inlineStr">
        <is>
          <t>https://www.sec.gov/Archives/edgar/data/827054/000082705426000038/</t>
        </is>
      </c>
    </row>
    <row r="91">
      <c r="A91" t="inlineStr">
        <is>
          <t>F32</t>
        </is>
      </c>
      <c r="B91" t="inlineStr">
        <is>
          <t>diluted_shares_wavg prior-year YTD 2025-04-01 to 2025-06-30</t>
        </is>
      </c>
      <c r="C91" s="47" t="n">
        <v>539200000</v>
      </c>
      <c r="D91" t="inlineStr">
        <is>
          <t>https://www.sec.gov/Archives/edgar/data/827054/000082705426000038/</t>
        </is>
      </c>
    </row>
    <row r="92">
      <c r="A92" t="inlineStr">
        <is>
          <t>F33</t>
        </is>
      </c>
      <c r="B92" t="inlineStr">
        <is>
          <t>diluted_shares_wavg quarter 2026-04-01 to 2026-06-30</t>
        </is>
      </c>
      <c r="C92" s="47" t="n">
        <v>550500000</v>
      </c>
      <c r="D92" t="inlineStr">
        <is>
          <t>https://www.sec.gov/Archives/edgar/data/827054/000082705426000038/</t>
        </is>
      </c>
    </row>
    <row r="93">
      <c r="A93" t="inlineStr">
        <is>
          <t>F34</t>
        </is>
      </c>
      <c r="B93" t="inlineStr">
        <is>
          <t>d_and_a FY ending 2024-03-31 (us-gaap:DepreciationDepletionAndAmortization)</t>
        </is>
      </c>
      <c r="C93" s="47" t="n">
        <v>879500000</v>
      </c>
      <c r="D93" t="inlineStr">
        <is>
          <t>https://www.sec.gov/Archives/edgar/data/827054/000082705426000016/</t>
        </is>
      </c>
    </row>
    <row r="94">
      <c r="A94" t="inlineStr">
        <is>
          <t>F35</t>
        </is>
      </c>
      <c r="B94" t="inlineStr">
        <is>
          <t>d_and_a FY ending 2025-03-31 (us-gaap:DepreciationDepletionAndAmortization)</t>
        </is>
      </c>
      <c r="C94" s="47" t="n">
        <v>750100000</v>
      </c>
      <c r="D94" t="inlineStr">
        <is>
          <t>https://www.sec.gov/Archives/edgar/data/827054/000082705426000016/</t>
        </is>
      </c>
    </row>
    <row r="95">
      <c r="A95" t="inlineStr">
        <is>
          <t>F36</t>
        </is>
      </c>
      <c r="B95" t="inlineStr">
        <is>
          <t>d_and_a FY ending 2026-03-31 (us-gaap:DepreciationDepletionAndAmortization)</t>
        </is>
      </c>
      <c r="C95" s="47" t="n">
        <v>689300000</v>
      </c>
      <c r="D95" t="inlineStr">
        <is>
          <t>https://www.sec.gov/Archives/edgar/data/827054/000082705426000016/</t>
        </is>
      </c>
    </row>
    <row r="96">
      <c r="A96" t="inlineStr">
        <is>
          <t>F37</t>
        </is>
      </c>
      <c r="B96" t="inlineStr">
        <is>
          <t>d_and_a YTD 2026-04-01 to 2026-06-30</t>
        </is>
      </c>
      <c r="C96" s="47" t="n">
        <v>156700000</v>
      </c>
      <c r="D96" t="inlineStr">
        <is>
          <t>https://www.sec.gov/Archives/edgar/data/827054/000082705426000038/</t>
        </is>
      </c>
    </row>
    <row r="97">
      <c r="A97" t="inlineStr">
        <is>
          <t>F38</t>
        </is>
      </c>
      <c r="B97" t="inlineStr">
        <is>
          <t>d_and_a prior-year YTD 2025-04-01 to 2025-06-30</t>
        </is>
      </c>
      <c r="C97" s="47" t="n">
        <v>171100000</v>
      </c>
      <c r="D97" t="inlineStr">
        <is>
          <t>https://www.sec.gov/Archives/edgar/data/827054/000082705426000038/</t>
        </is>
      </c>
    </row>
    <row r="98">
      <c r="A98" t="inlineStr">
        <is>
          <t>F39</t>
        </is>
      </c>
      <c r="B98" t="inlineStr">
        <is>
          <t>d_and_a TTM to 2026-06-30</t>
        </is>
      </c>
      <c r="C98" s="47" t="n">
        <v>674900000</v>
      </c>
    </row>
    <row r="99">
      <c r="A99" t="inlineStr">
        <is>
          <t>F40</t>
        </is>
      </c>
      <c r="B99" t="inlineStr">
        <is>
          <t>d_and_a quarter 2026-04-01 to 2026-06-30</t>
        </is>
      </c>
      <c r="C99" s="47" t="n">
        <v>156700000</v>
      </c>
      <c r="D99" t="inlineStr">
        <is>
          <t>https://www.sec.gov/Archives/edgar/data/827054/000082705426000038/</t>
        </is>
      </c>
    </row>
    <row r="100">
      <c r="A100" t="inlineStr">
        <is>
          <t>F41</t>
        </is>
      </c>
      <c r="B100" t="inlineStr">
        <is>
          <t>sbc FY ending 2024-03-31 (us-gaap:ShareBasedCompensation)</t>
        </is>
      </c>
      <c r="C100" s="47" t="n">
        <v>177500000</v>
      </c>
      <c r="D100" t="inlineStr">
        <is>
          <t>https://www.sec.gov/Archives/edgar/data/827054/000082705426000016/</t>
        </is>
      </c>
    </row>
    <row r="101">
      <c r="A101" t="inlineStr">
        <is>
          <t>F42</t>
        </is>
      </c>
      <c r="B101" t="inlineStr">
        <is>
          <t>sbc FY ending 2025-03-31 (us-gaap:ShareBasedCompensation)</t>
        </is>
      </c>
      <c r="C101" s="47" t="n">
        <v>180400000</v>
      </c>
      <c r="D101" t="inlineStr">
        <is>
          <t>https://www.sec.gov/Archives/edgar/data/827054/000082705426000016/</t>
        </is>
      </c>
    </row>
    <row r="102">
      <c r="A102" t="inlineStr">
        <is>
          <t>F43</t>
        </is>
      </c>
      <c r="B102" t="inlineStr">
        <is>
          <t>sbc FY ending 2026-03-31 (us-gaap:ShareBasedCompensation)</t>
        </is>
      </c>
      <c r="C102" s="47" t="n">
        <v>255400000</v>
      </c>
      <c r="D102" t="inlineStr">
        <is>
          <t>https://www.sec.gov/Archives/edgar/data/827054/000082705426000016/</t>
        </is>
      </c>
    </row>
    <row r="103">
      <c r="A103" t="inlineStr">
        <is>
          <t>F44</t>
        </is>
      </c>
      <c r="B103" t="inlineStr">
        <is>
          <t>sbc YTD 2026-04-01 to 2026-06-30</t>
        </is>
      </c>
      <c r="C103" s="47" t="n">
        <v>75000000</v>
      </c>
      <c r="D103" t="inlineStr">
        <is>
          <t>https://www.sec.gov/Archives/edgar/data/827054/000082705426000038/</t>
        </is>
      </c>
    </row>
    <row r="104">
      <c r="A104" t="inlineStr">
        <is>
          <t>F45</t>
        </is>
      </c>
      <c r="B104" t="inlineStr">
        <is>
          <t>sbc prior-year YTD 2025-04-01 to 2025-06-30</t>
        </is>
      </c>
      <c r="C104" s="47" t="n">
        <v>52900000</v>
      </c>
      <c r="D104" t="inlineStr">
        <is>
          <t>https://www.sec.gov/Archives/edgar/data/827054/000082705426000038/</t>
        </is>
      </c>
    </row>
    <row r="105">
      <c r="A105" t="inlineStr">
        <is>
          <t>F46</t>
        </is>
      </c>
      <c r="B105" t="inlineStr">
        <is>
          <t>sbc TTM to 2026-06-30</t>
        </is>
      </c>
      <c r="C105" s="47" t="n">
        <v>277500000</v>
      </c>
    </row>
    <row r="106">
      <c r="A106" t="inlineStr">
        <is>
          <t>F47</t>
        </is>
      </c>
      <c r="B106" t="inlineStr">
        <is>
          <t>sbc quarter 2026-04-01 to 2026-06-30</t>
        </is>
      </c>
      <c r="C106" s="47" t="n">
        <v>75000000</v>
      </c>
      <c r="D106" t="inlineStr">
        <is>
          <t>https://www.sec.gov/Archives/edgar/data/827054/000082705426000038/</t>
        </is>
      </c>
    </row>
    <row r="107">
      <c r="A107" t="inlineStr">
        <is>
          <t>F48</t>
        </is>
      </c>
      <c r="B107" t="inlineStr">
        <is>
          <t>cfo FY ending 2024-03-31 (us-gaap:NetCashProvidedByUsedInOperatingActivities)</t>
        </is>
      </c>
      <c r="C107" s="47" t="n">
        <v>2892700000</v>
      </c>
      <c r="D107" t="inlineStr">
        <is>
          <t>https://www.sec.gov/Archives/edgar/data/827054/000082705426000016/</t>
        </is>
      </c>
    </row>
    <row r="108">
      <c r="A108" t="inlineStr">
        <is>
          <t>F49</t>
        </is>
      </c>
      <c r="B108" t="inlineStr">
        <is>
          <t>cfo FY ending 2025-03-31 (us-gaap:NetCashProvidedByUsedInOperatingActivities)</t>
        </is>
      </c>
      <c r="C108" s="47" t="n">
        <v>898100000</v>
      </c>
      <c r="D108" t="inlineStr">
        <is>
          <t>https://www.sec.gov/Archives/edgar/data/827054/000082705426000016/</t>
        </is>
      </c>
    </row>
    <row r="109">
      <c r="A109" t="inlineStr">
        <is>
          <t>F50</t>
        </is>
      </c>
      <c r="B109" t="inlineStr">
        <is>
          <t>cfo FY ending 2026-03-31 (us-gaap:NetCashProvidedByUsedInOperatingActivities)</t>
        </is>
      </c>
      <c r="C109" s="47" t="n">
        <v>962100000</v>
      </c>
      <c r="D109" t="inlineStr">
        <is>
          <t>https://www.sec.gov/Archives/edgar/data/827054/000082705426000016/</t>
        </is>
      </c>
    </row>
    <row r="110">
      <c r="A110" t="inlineStr">
        <is>
          <t>F51</t>
        </is>
      </c>
      <c r="B110" t="inlineStr">
        <is>
          <t>cfo YTD 2026-04-01 to 2026-06-30</t>
        </is>
      </c>
      <c r="C110" s="47" t="n">
        <v>511500000</v>
      </c>
      <c r="D110" t="inlineStr">
        <is>
          <t>https://www.sec.gov/Archives/edgar/data/827054/000082705426000038/</t>
        </is>
      </c>
    </row>
    <row r="111">
      <c r="A111" t="inlineStr">
        <is>
          <t>F52</t>
        </is>
      </c>
      <c r="B111" t="inlineStr">
        <is>
          <t>cfo prior-year YTD 2025-04-01 to 2025-06-30</t>
        </is>
      </c>
      <c r="C111" s="47" t="n">
        <v>275600000</v>
      </c>
      <c r="D111" t="inlineStr">
        <is>
          <t>https://www.sec.gov/Archives/edgar/data/827054/000082705426000038/</t>
        </is>
      </c>
    </row>
    <row r="112">
      <c r="A112" t="inlineStr">
        <is>
          <t>F53</t>
        </is>
      </c>
      <c r="B112" t="inlineStr">
        <is>
          <t>cfo TTM to 2026-06-30</t>
        </is>
      </c>
      <c r="C112" s="47" t="n">
        <v>1198000000</v>
      </c>
    </row>
    <row r="113">
      <c r="A113" t="inlineStr">
        <is>
          <t>F54</t>
        </is>
      </c>
      <c r="B113" t="inlineStr">
        <is>
          <t>cfo quarter 2026-04-01 to 2026-06-30</t>
        </is>
      </c>
      <c r="C113" s="47" t="n">
        <v>511500000</v>
      </c>
      <c r="D113" t="inlineStr">
        <is>
          <t>https://www.sec.gov/Archives/edgar/data/827054/000082705426000038/</t>
        </is>
      </c>
    </row>
    <row r="114">
      <c r="A114" t="inlineStr">
        <is>
          <t>F55</t>
        </is>
      </c>
      <c r="B114" t="inlineStr">
        <is>
          <t>capex FY ending 2024-03-31 (us-gaap:PaymentsToAcquirePropertyPlantAndEquipment)</t>
        </is>
      </c>
      <c r="C114" s="47" t="n">
        <v>285100000</v>
      </c>
      <c r="D114" t="inlineStr">
        <is>
          <t>https://www.sec.gov/Archives/edgar/data/827054/000082705426000016/</t>
        </is>
      </c>
    </row>
    <row r="115">
      <c r="A115" t="inlineStr">
        <is>
          <t>F56</t>
        </is>
      </c>
      <c r="B115" t="inlineStr">
        <is>
          <t>capex FY ending 2025-03-31 (us-gaap:PaymentsToAcquirePropertyPlantAndEquipment)</t>
        </is>
      </c>
      <c r="C115" s="47" t="n">
        <v>126000000</v>
      </c>
      <c r="D115" t="inlineStr">
        <is>
          <t>https://www.sec.gov/Archives/edgar/data/827054/000082705426000016/</t>
        </is>
      </c>
    </row>
    <row r="116">
      <c r="A116" t="inlineStr">
        <is>
          <t>F57</t>
        </is>
      </c>
      <c r="B116" t="inlineStr">
        <is>
          <t>capex FY ending 2026-03-31 (us-gaap:PaymentsToAcquirePropertyPlantAndEquipment)</t>
        </is>
      </c>
      <c r="C116" s="47" t="n">
        <v>91100000</v>
      </c>
      <c r="D116" t="inlineStr">
        <is>
          <t>https://www.sec.gov/Archives/edgar/data/827054/000082705426000016/</t>
        </is>
      </c>
    </row>
    <row r="117">
      <c r="A117" t="inlineStr">
        <is>
          <t>F58</t>
        </is>
      </c>
      <c r="B117" t="inlineStr">
        <is>
          <t>capex YTD 2026-04-01 to 2026-06-30</t>
        </is>
      </c>
      <c r="C117" s="47" t="n">
        <v>13900000</v>
      </c>
      <c r="D117" t="inlineStr">
        <is>
          <t>https://www.sec.gov/Archives/edgar/data/827054/000082705426000038/</t>
        </is>
      </c>
    </row>
    <row r="118">
      <c r="A118" t="inlineStr">
        <is>
          <t>F59</t>
        </is>
      </c>
      <c r="B118" t="inlineStr">
        <is>
          <t>capex prior-year YTD 2025-04-01 to 2025-06-30</t>
        </is>
      </c>
      <c r="C118" s="47" t="n">
        <v>17900000</v>
      </c>
      <c r="D118" t="inlineStr">
        <is>
          <t>https://www.sec.gov/Archives/edgar/data/827054/000082705426000038/</t>
        </is>
      </c>
    </row>
    <row r="119">
      <c r="A119" t="inlineStr">
        <is>
          <t>F60</t>
        </is>
      </c>
      <c r="B119" t="inlineStr">
        <is>
          <t>capex TTM to 2026-06-30</t>
        </is>
      </c>
      <c r="C119" s="47" t="n">
        <v>87100000</v>
      </c>
    </row>
    <row r="120">
      <c r="A120" t="inlineStr">
        <is>
          <t>F61</t>
        </is>
      </c>
      <c r="B120" t="inlineStr">
        <is>
          <t>capex quarter 2026-04-01 to 2026-06-30</t>
        </is>
      </c>
      <c r="C120" s="47" t="n">
        <v>13900000</v>
      </c>
      <c r="D120" t="inlineStr">
        <is>
          <t>https://www.sec.gov/Archives/edgar/data/827054/000082705426000038/</t>
        </is>
      </c>
    </row>
    <row r="121">
      <c r="A121" t="inlineStr">
        <is>
          <t>F62</t>
        </is>
      </c>
      <c r="B121" t="inlineStr">
        <is>
          <t>buybacks FY ending 2024-03-31 (us-gaap:PaymentsForRepurchaseOfCommonStock)</t>
        </is>
      </c>
      <c r="C121" s="47" t="n">
        <v>982100000</v>
      </c>
      <c r="D121" t="inlineStr">
        <is>
          <t>https://www.sec.gov/Archives/edgar/data/827054/000082705426000016/</t>
        </is>
      </c>
    </row>
    <row r="122">
      <c r="A122" t="inlineStr">
        <is>
          <t>F63</t>
        </is>
      </c>
      <c r="B122" t="inlineStr">
        <is>
          <t>buybacks FY ending 2025-03-31 (us-gaap:PaymentsForRepurchaseOfCommonStock)</t>
        </is>
      </c>
      <c r="C122" s="47" t="n">
        <v>96500000</v>
      </c>
      <c r="D122" t="inlineStr">
        <is>
          <t>https://www.sec.gov/Archives/edgar/data/827054/000082705426000016/</t>
        </is>
      </c>
    </row>
    <row r="123">
      <c r="A123" t="inlineStr">
        <is>
          <t>F64</t>
        </is>
      </c>
      <c r="B123" t="inlineStr">
        <is>
          <t>buybacks FY ending 2026-03-31 (us-gaap:PaymentsForRepurchaseOfCommonStock)</t>
        </is>
      </c>
      <c r="C123" s="47" t="n">
        <v>0</v>
      </c>
      <c r="D123" t="inlineStr">
        <is>
          <t>https://www.sec.gov/Archives/edgar/data/827054/000082705426000016/</t>
        </is>
      </c>
    </row>
    <row r="124">
      <c r="A124" t="inlineStr">
        <is>
          <t>F65</t>
        </is>
      </c>
      <c r="B124" t="inlineStr">
        <is>
          <t>buybacks TTM to 2026-03-31 (latest filing is the annual report)</t>
        </is>
      </c>
      <c r="C124" s="47" t="n">
        <v>0</v>
      </c>
    </row>
    <row r="125">
      <c r="A125" t="inlineStr">
        <is>
          <t>F66</t>
        </is>
      </c>
      <c r="B125" t="inlineStr">
        <is>
          <t>dividends_paid FY ending 2024-03-31 (us-gaap:PaymentsOfDividendsCommonStock)</t>
        </is>
      </c>
      <c r="C125" s="47" t="n">
        <v>911500000</v>
      </c>
      <c r="D125" t="inlineStr">
        <is>
          <t>https://www.sec.gov/Archives/edgar/data/827054/000082705426000016/</t>
        </is>
      </c>
    </row>
    <row r="126">
      <c r="A126" t="inlineStr">
        <is>
          <t>F67</t>
        </is>
      </c>
      <c r="B126" t="inlineStr">
        <is>
          <t>dividends_paid FY ending 2025-03-31 (us-gaap:PaymentsOfDividendsCommonStock)</t>
        </is>
      </c>
      <c r="C126" s="47" t="n">
        <v>975700000</v>
      </c>
      <c r="D126" t="inlineStr">
        <is>
          <t>https://www.sec.gov/Archives/edgar/data/827054/000082705426000016/</t>
        </is>
      </c>
    </row>
    <row r="127">
      <c r="A127" t="inlineStr">
        <is>
          <t>F68</t>
        </is>
      </c>
      <c r="B127" t="inlineStr">
        <is>
          <t>dividends_paid FY ending 2026-03-31 (us-gaap:PaymentsOfDividendsCommonStock)</t>
        </is>
      </c>
      <c r="C127" s="47" t="n">
        <v>984000000</v>
      </c>
      <c r="D127" t="inlineStr">
        <is>
          <t>https://www.sec.gov/Archives/edgar/data/827054/000082705426000016/</t>
        </is>
      </c>
    </row>
    <row r="128">
      <c r="A128" t="inlineStr">
        <is>
          <t>F69</t>
        </is>
      </c>
      <c r="B128" t="inlineStr">
        <is>
          <t>dividends_paid YTD 2026-04-01 to 2026-06-30</t>
        </is>
      </c>
      <c r="C128" s="47" t="n">
        <v>246900000</v>
      </c>
      <c r="D128" t="inlineStr">
        <is>
          <t>https://www.sec.gov/Archives/edgar/data/827054/000082705426000038/</t>
        </is>
      </c>
    </row>
    <row r="129">
      <c r="A129" t="inlineStr">
        <is>
          <t>F70</t>
        </is>
      </c>
      <c r="B129" t="inlineStr">
        <is>
          <t>dividends_paid prior-year YTD 2025-04-01 to 2025-06-30</t>
        </is>
      </c>
      <c r="C129" s="47" t="n">
        <v>245500000</v>
      </c>
      <c r="D129" t="inlineStr">
        <is>
          <t>https://www.sec.gov/Archives/edgar/data/827054/000082705426000038/</t>
        </is>
      </c>
    </row>
    <row r="130">
      <c r="A130" t="inlineStr">
        <is>
          <t>F71</t>
        </is>
      </c>
      <c r="B130" t="inlineStr">
        <is>
          <t>dividends_paid TTM to 2026-06-30</t>
        </is>
      </c>
      <c r="C130" s="47" t="n">
        <v>985400000</v>
      </c>
    </row>
    <row r="131">
      <c r="A131" t="inlineStr">
        <is>
          <t>F72</t>
        </is>
      </c>
      <c r="B131" t="inlineStr">
        <is>
          <t>dividends_paid quarter 2026-04-01 to 2026-06-30</t>
        </is>
      </c>
      <c r="C131" s="47" t="n">
        <v>246900000</v>
      </c>
      <c r="D131" t="inlineStr">
        <is>
          <t>https://www.sec.gov/Archives/edgar/data/827054/000082705426000038/</t>
        </is>
      </c>
    </row>
    <row r="132">
      <c r="A132" t="inlineStr">
        <is>
          <t>F73</t>
        </is>
      </c>
      <c r="B132" t="inlineStr">
        <is>
          <t>interest_expense FY ending 2024-03-31 (us-gaap:InterestExpenseNonoperating)</t>
        </is>
      </c>
      <c r="C132" s="47" t="n">
        <v>198300000</v>
      </c>
      <c r="D132" t="inlineStr">
        <is>
          <t>https://www.sec.gov/Archives/edgar/data/827054/000082705426000016/</t>
        </is>
      </c>
    </row>
    <row r="133">
      <c r="A133" t="inlineStr">
        <is>
          <t>F74</t>
        </is>
      </c>
      <c r="B133" t="inlineStr">
        <is>
          <t>interest_expense FY ending 2025-03-31 (us-gaap:InterestExpenseNonoperating)</t>
        </is>
      </c>
      <c r="C133" s="47" t="n">
        <v>259200000</v>
      </c>
      <c r="D133" t="inlineStr">
        <is>
          <t>https://www.sec.gov/Archives/edgar/data/827054/000082705426000016/</t>
        </is>
      </c>
    </row>
    <row r="134">
      <c r="A134" t="inlineStr">
        <is>
          <t>F75</t>
        </is>
      </c>
      <c r="B134" t="inlineStr">
        <is>
          <t>interest_expense FY ending 2026-03-31 (us-gaap:InterestExpenseNonoperating)</t>
        </is>
      </c>
      <c r="C134" s="47" t="n">
        <v>221300000</v>
      </c>
      <c r="D134" t="inlineStr">
        <is>
          <t>https://www.sec.gov/Archives/edgar/data/827054/000082705426000016/</t>
        </is>
      </c>
    </row>
    <row r="135">
      <c r="A135" t="inlineStr">
        <is>
          <t>F76</t>
        </is>
      </c>
      <c r="B135" t="inlineStr">
        <is>
          <t>interest_expense YTD 2026-04-01 to 2026-06-30</t>
        </is>
      </c>
      <c r="C135" s="47" t="n">
        <v>48800000</v>
      </c>
      <c r="D135" t="inlineStr">
        <is>
          <t>https://www.sec.gov/Archives/edgar/data/827054/000082705426000038/</t>
        </is>
      </c>
    </row>
    <row r="136">
      <c r="A136" t="inlineStr">
        <is>
          <t>F77</t>
        </is>
      </c>
      <c r="B136" t="inlineStr">
        <is>
          <t>interest_expense prior-year YTD 2025-04-01 to 2025-06-30</t>
        </is>
      </c>
      <c r="C136" s="47" t="n">
        <v>57400000</v>
      </c>
      <c r="D136" t="inlineStr">
        <is>
          <t>https://www.sec.gov/Archives/edgar/data/827054/000082705426000038/</t>
        </is>
      </c>
    </row>
    <row r="137">
      <c r="A137" t="inlineStr">
        <is>
          <t>F78</t>
        </is>
      </c>
      <c r="B137" t="inlineStr">
        <is>
          <t>interest_expense TTM to 2026-06-30</t>
        </is>
      </c>
      <c r="C137" s="47" t="n">
        <v>212700000</v>
      </c>
    </row>
    <row r="138">
      <c r="A138" t="inlineStr">
        <is>
          <t>F79</t>
        </is>
      </c>
      <c r="B138" t="inlineStr">
        <is>
          <t>interest_expense quarter 2026-04-01 to 2026-06-30</t>
        </is>
      </c>
      <c r="C138" s="47" t="n">
        <v>48800000</v>
      </c>
      <c r="D138" t="inlineStr">
        <is>
          <t>https://www.sec.gov/Archives/edgar/data/827054/000082705426000038/</t>
        </is>
      </c>
    </row>
    <row r="139">
      <c r="A139" t="inlineStr">
        <is>
          <t>F80</t>
        </is>
      </c>
      <c r="B139" t="inlineStr">
        <is>
          <t>income_tax FY ending 2024-03-31 (us-gaap:IncomeTaxExpenseBenefit)</t>
        </is>
      </c>
      <c r="C139" s="47" t="n">
        <v>459000000</v>
      </c>
      <c r="D139" t="inlineStr">
        <is>
          <t>https://www.sec.gov/Archives/edgar/data/827054/000082705426000016/</t>
        </is>
      </c>
    </row>
    <row r="140">
      <c r="A140" t="inlineStr">
        <is>
          <t>F81</t>
        </is>
      </c>
      <c r="B140" t="inlineStr">
        <is>
          <t>income_tax FY ending 2025-03-31 (us-gaap:IncomeTaxExpenseBenefit)</t>
        </is>
      </c>
      <c r="C140" s="47" t="n">
        <v>39400000</v>
      </c>
      <c r="D140" t="inlineStr">
        <is>
          <t>https://www.sec.gov/Archives/edgar/data/827054/000082705426000016/</t>
        </is>
      </c>
    </row>
    <row r="141">
      <c r="A141" t="inlineStr">
        <is>
          <t>F82</t>
        </is>
      </c>
      <c r="B141" t="inlineStr">
        <is>
          <t>income_tax FY ending 2026-03-31 (us-gaap:IncomeTaxExpenseBenefit)</t>
        </is>
      </c>
      <c r="C141" s="47" t="n">
        <v>43500000</v>
      </c>
      <c r="D141" t="inlineStr">
        <is>
          <t>https://www.sec.gov/Archives/edgar/data/827054/000082705426000016/</t>
        </is>
      </c>
    </row>
    <row r="142">
      <c r="A142" t="inlineStr">
        <is>
          <t>F83</t>
        </is>
      </c>
      <c r="B142" t="inlineStr">
        <is>
          <t>income_tax YTD 2026-04-01 to 2026-06-30</t>
        </is>
      </c>
      <c r="C142" s="47" t="n">
        <v>60100000</v>
      </c>
      <c r="D142" t="inlineStr">
        <is>
          <t>https://www.sec.gov/Archives/edgar/data/827054/000082705426000038/</t>
        </is>
      </c>
    </row>
    <row r="143">
      <c r="A143" t="inlineStr">
        <is>
          <t>F84</t>
        </is>
      </c>
      <c r="B143" t="inlineStr">
        <is>
          <t>income_tax prior-year YTD 2025-04-01 to 2025-06-30</t>
        </is>
      </c>
      <c r="C143" s="47" t="n">
        <v>2800000</v>
      </c>
      <c r="D143" t="inlineStr">
        <is>
          <t>https://www.sec.gov/Archives/edgar/data/827054/000082705426000038/</t>
        </is>
      </c>
    </row>
    <row r="144">
      <c r="A144" t="inlineStr">
        <is>
          <t>F85</t>
        </is>
      </c>
      <c r="B144" t="inlineStr">
        <is>
          <t>income_tax TTM to 2026-06-30</t>
        </is>
      </c>
      <c r="C144" s="47" t="n">
        <v>100800000</v>
      </c>
    </row>
    <row r="145">
      <c r="A145" t="inlineStr">
        <is>
          <t>F86</t>
        </is>
      </c>
      <c r="B145" t="inlineStr">
        <is>
          <t>income_tax quarter 2026-04-01 to 2026-06-30</t>
        </is>
      </c>
      <c r="C145" s="47" t="n">
        <v>60100000</v>
      </c>
      <c r="D145" t="inlineStr">
        <is>
          <t>https://www.sec.gov/Archives/edgar/data/827054/000082705426000038/</t>
        </is>
      </c>
    </row>
    <row r="146">
      <c r="A146" t="inlineStr">
        <is>
          <t>F87</t>
        </is>
      </c>
      <c r="B146" t="inlineStr">
        <is>
          <t>pretax_income FY ending 2024-03-31 (us-gaap:IncomeLossFromContinuingOperationsBeforeIncomeTaxesExtraordinaryItemsNoncontrollingInterest)</t>
        </is>
      </c>
      <c r="C146" s="47" t="n">
        <v>2365900000</v>
      </c>
      <c r="D146" t="inlineStr">
        <is>
          <t>https://www.sec.gov/Archives/edgar/data/827054/000082705426000016/</t>
        </is>
      </c>
    </row>
    <row r="147">
      <c r="A147" t="inlineStr">
        <is>
          <t>F88</t>
        </is>
      </c>
      <c r="B147" t="inlineStr">
        <is>
          <t>pretax_income FY ending 2025-03-31 (us-gaap:IncomeLossFromContinuingOperationsBeforeIncomeTaxesExtraordinaryItemsNoncontrollingInterest)</t>
        </is>
      </c>
      <c r="C147" s="47" t="n">
        <v>38900000</v>
      </c>
      <c r="D147" t="inlineStr">
        <is>
          <t>https://www.sec.gov/Archives/edgar/data/827054/000082705426000016/</t>
        </is>
      </c>
    </row>
    <row r="148">
      <c r="A148" t="inlineStr">
        <is>
          <t>F89</t>
        </is>
      </c>
      <c r="B148" t="inlineStr">
        <is>
          <t>pretax_income FY ending 2026-03-31 (us-gaap:IncomeLossFromContinuingOperationsBeforeIncomeTaxesExtraordinaryItemsNoncontrollingInterest)</t>
        </is>
      </c>
      <c r="C148" s="47" t="n">
        <v>273500000</v>
      </c>
      <c r="D148" t="inlineStr">
        <is>
          <t>https://www.sec.gov/Archives/edgar/data/827054/000082705426000016/</t>
        </is>
      </c>
    </row>
    <row r="149">
      <c r="A149" t="inlineStr">
        <is>
          <t>F90</t>
        </is>
      </c>
      <c r="B149" t="inlineStr">
        <is>
          <t>pretax_income YTD 2026-04-01 to 2026-06-30</t>
        </is>
      </c>
      <c r="C149" s="47" t="n">
        <v>289900000</v>
      </c>
      <c r="D149" t="inlineStr">
        <is>
          <t>https://www.sec.gov/Archives/edgar/data/827054/000082705426000038/</t>
        </is>
      </c>
    </row>
    <row r="150">
      <c r="A150" t="inlineStr">
        <is>
          <t>F91</t>
        </is>
      </c>
      <c r="B150" t="inlineStr">
        <is>
          <t>pretax_income prior-year YTD 2025-04-01 to 2025-06-30</t>
        </is>
      </c>
      <c r="C150" s="47" t="n">
        <v>-15800000</v>
      </c>
      <c r="D150" t="inlineStr">
        <is>
          <t>https://www.sec.gov/Archives/edgar/data/827054/000082705426000038/</t>
        </is>
      </c>
    </row>
    <row r="151">
      <c r="A151" t="inlineStr">
        <is>
          <t>F92</t>
        </is>
      </c>
      <c r="B151" t="inlineStr">
        <is>
          <t>pretax_income TTM to 2026-06-30</t>
        </is>
      </c>
      <c r="C151" s="47" t="n">
        <v>579200000</v>
      </c>
    </row>
    <row r="152">
      <c r="A152" t="inlineStr">
        <is>
          <t>F93</t>
        </is>
      </c>
      <c r="B152" t="inlineStr">
        <is>
          <t>pretax_income quarter 2026-04-01 to 2026-06-30</t>
        </is>
      </c>
      <c r="C152" s="47" t="n">
        <v>289900000</v>
      </c>
      <c r="D152" t="inlineStr">
        <is>
          <t>https://www.sec.gov/Archives/edgar/data/827054/000082705426000038/</t>
        </is>
      </c>
    </row>
    <row r="153">
      <c r="A153" t="inlineStr">
        <is>
          <t>F94</t>
        </is>
      </c>
      <c r="B153" t="inlineStr">
        <is>
          <t>cash at 2026-06-30 (us-gaap:CashAndCashEquivalentsAtCarryingValue)</t>
        </is>
      </c>
      <c r="C153" s="47" t="n">
        <v>272300000</v>
      </c>
      <c r="D153" t="inlineStr">
        <is>
          <t>https://www.sec.gov/Archives/edgar/data/827054/000082705426000038/</t>
        </is>
      </c>
    </row>
    <row r="154">
      <c r="A154" t="inlineStr">
        <is>
          <t>F95</t>
        </is>
      </c>
      <c r="B154" t="inlineStr">
        <is>
          <t>debt_total at 2026-06-30 (us-gaap:LongTermDebt)</t>
        </is>
      </c>
      <c r="C154" s="47" t="n">
        <v>5361300000</v>
      </c>
      <c r="D154" t="inlineStr">
        <is>
          <t>https://www.sec.gov/Archives/edgar/data/827054/000082705426000038/</t>
        </is>
      </c>
    </row>
    <row r="155">
      <c r="A155" t="inlineStr">
        <is>
          <t>F96</t>
        </is>
      </c>
      <c r="B155" t="inlineStr">
        <is>
          <t>debt_noncurrent at 2026-06-30 (us-gaap:LongTermDebtNoncurrent)</t>
        </is>
      </c>
      <c r="C155" s="47" t="n">
        <v>5361300000</v>
      </c>
      <c r="D155" t="inlineStr">
        <is>
          <t>https://www.sec.gov/Archives/edgar/data/827054/000082705426000038/</t>
        </is>
      </c>
    </row>
    <row r="156">
      <c r="A156" t="inlineStr">
        <is>
          <t>F97</t>
        </is>
      </c>
      <c r="B156" t="inlineStr">
        <is>
          <t>debt_current at 2026-06-30 (us-gaap:LongTermDebtCurrent)</t>
        </is>
      </c>
      <c r="C156" s="47" t="n">
        <v>0</v>
      </c>
      <c r="D156" t="inlineStr">
        <is>
          <t>https://www.sec.gov/Archives/edgar/data/827054/000082705426000038/</t>
        </is>
      </c>
    </row>
    <row r="157">
      <c r="A157" t="inlineStr">
        <is>
          <t>F98</t>
        </is>
      </c>
      <c r="B157" t="inlineStr">
        <is>
          <t>equity at 2026-06-30 (us-gaap:StockholdersEquity)</t>
        </is>
      </c>
      <c r="C157" s="47" t="n">
        <v>6451000000</v>
      </c>
      <c r="D157" t="inlineStr">
        <is>
          <t>https://www.sec.gov/Archives/edgar/data/827054/000082705426000038/</t>
        </is>
      </c>
    </row>
    <row r="158">
      <c r="A158" t="inlineStr">
        <is>
          <t>F99</t>
        </is>
      </c>
      <c r="B158" t="inlineStr">
        <is>
          <t>shares outstanding (cover page, 1 class(es)) as of 2026-07-28</t>
        </is>
      </c>
      <c r="C158" s="47" t="n">
        <v>543008691</v>
      </c>
      <c r="D158" t="inlineStr">
        <is>
          <t>https://www.sec.gov/Archives/edgar/data/827054/000082705426000038/</t>
        </is>
      </c>
    </row>
    <row r="159">
      <c r="A159" t="inlineStr">
        <is>
          <t>F100</t>
        </is>
      </c>
      <c r="B159" t="inlineStr">
        <is>
          <t>total debt (XBRL tags; excludes leases unless tagged in; check the balance sheet)</t>
        </is>
      </c>
      <c r="C159" s="47" t="n">
        <v>5361300000</v>
      </c>
    </row>
    <row r="160">
      <c r="A160" t="inlineStr">
        <is>
          <t>F101</t>
        </is>
      </c>
      <c r="B160" t="inlineStr">
        <is>
          <t>net debt = debt - cash - short-term investments</t>
        </is>
      </c>
      <c r="C160" s="47" t="n">
        <v>5089000000</v>
      </c>
    </row>
    <row r="161">
      <c r="A161" t="inlineStr">
        <is>
          <t>F102</t>
        </is>
      </c>
      <c r="B161" t="inlineStr">
        <is>
          <t>EBITDA TTM (GAAP operating income + D&amp;A; not the company's adjusted EBITDA)</t>
        </is>
      </c>
      <c r="C161" s="47" t="n">
        <v>1469700000</v>
      </c>
    </row>
    <row r="162">
      <c r="A162" t="inlineStr">
        <is>
          <t>F103</t>
        </is>
      </c>
      <c r="B162" t="inlineStr">
        <is>
          <t>free cash flow TTM = operating cash flow - capex (before SBC adjustment)</t>
        </is>
      </c>
      <c r="C162" s="47" t="n">
        <v>1110900000</v>
      </c>
    </row>
    <row r="163">
      <c r="A163" t="inlineStr">
        <is>
          <t>F104</t>
        </is>
      </c>
      <c r="B163" t="inlineStr">
        <is>
          <t>diluted EPS TTM approx = net income TTM / latest quarter diluted shares</t>
        </is>
      </c>
      <c r="C163" s="47" t="n">
        <v>0.8690281562216167</v>
      </c>
    </row>
  </sheetData>
  <hyperlinks>
    <hyperlink xmlns:r="http://schemas.openxmlformats.org/officeDocument/2006/relationships" ref="D45" r:id="rId1"/>
    <hyperlink xmlns:r="http://schemas.openxmlformats.org/officeDocument/2006/relationships" ref="D46" r:id="rId2"/>
    <hyperlink xmlns:r="http://schemas.openxmlformats.org/officeDocument/2006/relationships" ref="D47" r:id="rId3"/>
    <hyperlink xmlns:r="http://schemas.openxmlformats.org/officeDocument/2006/relationships" ref="D48" r:id="rId4"/>
    <hyperlink xmlns:r="http://schemas.openxmlformats.org/officeDocument/2006/relationships" ref="D49" r:id="rId5"/>
    <hyperlink xmlns:r="http://schemas.openxmlformats.org/officeDocument/2006/relationships" ref="D50" r:id="rId6"/>
    <hyperlink xmlns:r="http://schemas.openxmlformats.org/officeDocument/2006/relationships" ref="D51" r:id="rId7"/>
    <hyperlink xmlns:r="http://schemas.openxmlformats.org/officeDocument/2006/relationships" ref="D52" r:id="rId8"/>
    <hyperlink xmlns:r="http://schemas.openxmlformats.org/officeDocument/2006/relationships" ref="D53" r:id="rId9"/>
    <hyperlink xmlns:r="http://schemas.openxmlformats.org/officeDocument/2006/relationships" ref="D54" r:id="rId10"/>
    <hyperlink xmlns:r="http://schemas.openxmlformats.org/officeDocument/2006/relationships" ref="D55" r:id="rId11"/>
    <hyperlink xmlns:r="http://schemas.openxmlformats.org/officeDocument/2006/relationships" ref="D56" r:id="rId12"/>
    <hyperlink xmlns:r="http://schemas.openxmlformats.org/officeDocument/2006/relationships" ref="D57" r:id="rId13"/>
    <hyperlink xmlns:r="http://schemas.openxmlformats.org/officeDocument/2006/relationships" ref="D60" r:id="rId14"/>
    <hyperlink xmlns:r="http://schemas.openxmlformats.org/officeDocument/2006/relationships" ref="D61" r:id="rId15"/>
    <hyperlink xmlns:r="http://schemas.openxmlformats.org/officeDocument/2006/relationships" ref="D62" r:id="rId16"/>
    <hyperlink xmlns:r="http://schemas.openxmlformats.org/officeDocument/2006/relationships" ref="D63" r:id="rId17"/>
    <hyperlink xmlns:r="http://schemas.openxmlformats.org/officeDocument/2006/relationships" ref="D64" r:id="rId18"/>
    <hyperlink xmlns:r="http://schemas.openxmlformats.org/officeDocument/2006/relationships" ref="D66" r:id="rId19"/>
    <hyperlink xmlns:r="http://schemas.openxmlformats.org/officeDocument/2006/relationships" ref="D67" r:id="rId20"/>
    <hyperlink xmlns:r="http://schemas.openxmlformats.org/officeDocument/2006/relationships" ref="D68" r:id="rId21"/>
    <hyperlink xmlns:r="http://schemas.openxmlformats.org/officeDocument/2006/relationships" ref="D69" r:id="rId22"/>
    <hyperlink xmlns:r="http://schemas.openxmlformats.org/officeDocument/2006/relationships" ref="D70" r:id="rId23"/>
    <hyperlink xmlns:r="http://schemas.openxmlformats.org/officeDocument/2006/relationships" ref="D71" r:id="rId24"/>
    <hyperlink xmlns:r="http://schemas.openxmlformats.org/officeDocument/2006/relationships" ref="D73" r:id="rId25"/>
    <hyperlink xmlns:r="http://schemas.openxmlformats.org/officeDocument/2006/relationships" ref="D74" r:id="rId26"/>
    <hyperlink xmlns:r="http://schemas.openxmlformats.org/officeDocument/2006/relationships" ref="D75" r:id="rId27"/>
    <hyperlink xmlns:r="http://schemas.openxmlformats.org/officeDocument/2006/relationships" ref="D76" r:id="rId28"/>
    <hyperlink xmlns:r="http://schemas.openxmlformats.org/officeDocument/2006/relationships" ref="D77" r:id="rId29"/>
    <hyperlink xmlns:r="http://schemas.openxmlformats.org/officeDocument/2006/relationships" ref="D78" r:id="rId30"/>
    <hyperlink xmlns:r="http://schemas.openxmlformats.org/officeDocument/2006/relationships" ref="D80" r:id="rId31"/>
    <hyperlink xmlns:r="http://schemas.openxmlformats.org/officeDocument/2006/relationships" ref="D81" r:id="rId32"/>
    <hyperlink xmlns:r="http://schemas.openxmlformats.org/officeDocument/2006/relationships" ref="D82" r:id="rId33"/>
    <hyperlink xmlns:r="http://schemas.openxmlformats.org/officeDocument/2006/relationships" ref="D83" r:id="rId34"/>
    <hyperlink xmlns:r="http://schemas.openxmlformats.org/officeDocument/2006/relationships" ref="D84" r:id="rId35"/>
    <hyperlink xmlns:r="http://schemas.openxmlformats.org/officeDocument/2006/relationships" ref="D85" r:id="rId36"/>
    <hyperlink xmlns:r="http://schemas.openxmlformats.org/officeDocument/2006/relationships" ref="D86" r:id="rId37"/>
    <hyperlink xmlns:r="http://schemas.openxmlformats.org/officeDocument/2006/relationships" ref="D87" r:id="rId38"/>
    <hyperlink xmlns:r="http://schemas.openxmlformats.org/officeDocument/2006/relationships" ref="D88" r:id="rId39"/>
    <hyperlink xmlns:r="http://schemas.openxmlformats.org/officeDocument/2006/relationships" ref="D89" r:id="rId40"/>
    <hyperlink xmlns:r="http://schemas.openxmlformats.org/officeDocument/2006/relationships" ref="D90" r:id="rId41"/>
    <hyperlink xmlns:r="http://schemas.openxmlformats.org/officeDocument/2006/relationships" ref="D91" r:id="rId42"/>
    <hyperlink xmlns:r="http://schemas.openxmlformats.org/officeDocument/2006/relationships" ref="D92" r:id="rId43"/>
    <hyperlink xmlns:r="http://schemas.openxmlformats.org/officeDocument/2006/relationships" ref="D93" r:id="rId44"/>
    <hyperlink xmlns:r="http://schemas.openxmlformats.org/officeDocument/2006/relationships" ref="D94" r:id="rId45"/>
    <hyperlink xmlns:r="http://schemas.openxmlformats.org/officeDocument/2006/relationships" ref="D95" r:id="rId46"/>
    <hyperlink xmlns:r="http://schemas.openxmlformats.org/officeDocument/2006/relationships" ref="D96" r:id="rId47"/>
    <hyperlink xmlns:r="http://schemas.openxmlformats.org/officeDocument/2006/relationships" ref="D97" r:id="rId48"/>
    <hyperlink xmlns:r="http://schemas.openxmlformats.org/officeDocument/2006/relationships" ref="D99" r:id="rId49"/>
    <hyperlink xmlns:r="http://schemas.openxmlformats.org/officeDocument/2006/relationships" ref="D100" r:id="rId50"/>
    <hyperlink xmlns:r="http://schemas.openxmlformats.org/officeDocument/2006/relationships" ref="D101" r:id="rId51"/>
    <hyperlink xmlns:r="http://schemas.openxmlformats.org/officeDocument/2006/relationships" ref="D102" r:id="rId52"/>
    <hyperlink xmlns:r="http://schemas.openxmlformats.org/officeDocument/2006/relationships" ref="D103" r:id="rId53"/>
    <hyperlink xmlns:r="http://schemas.openxmlformats.org/officeDocument/2006/relationships" ref="D104" r:id="rId54"/>
    <hyperlink xmlns:r="http://schemas.openxmlformats.org/officeDocument/2006/relationships" ref="D106" r:id="rId55"/>
    <hyperlink xmlns:r="http://schemas.openxmlformats.org/officeDocument/2006/relationships" ref="D107" r:id="rId56"/>
    <hyperlink xmlns:r="http://schemas.openxmlformats.org/officeDocument/2006/relationships" ref="D108" r:id="rId57"/>
    <hyperlink xmlns:r="http://schemas.openxmlformats.org/officeDocument/2006/relationships" ref="D109" r:id="rId58"/>
    <hyperlink xmlns:r="http://schemas.openxmlformats.org/officeDocument/2006/relationships" ref="D110" r:id="rId59"/>
    <hyperlink xmlns:r="http://schemas.openxmlformats.org/officeDocument/2006/relationships" ref="D111" r:id="rId60"/>
    <hyperlink xmlns:r="http://schemas.openxmlformats.org/officeDocument/2006/relationships" ref="D113" r:id="rId61"/>
    <hyperlink xmlns:r="http://schemas.openxmlformats.org/officeDocument/2006/relationships" ref="D114" r:id="rId62"/>
    <hyperlink xmlns:r="http://schemas.openxmlformats.org/officeDocument/2006/relationships" ref="D115" r:id="rId63"/>
    <hyperlink xmlns:r="http://schemas.openxmlformats.org/officeDocument/2006/relationships" ref="D116" r:id="rId64"/>
    <hyperlink xmlns:r="http://schemas.openxmlformats.org/officeDocument/2006/relationships" ref="D117" r:id="rId65"/>
    <hyperlink xmlns:r="http://schemas.openxmlformats.org/officeDocument/2006/relationships" ref="D118" r:id="rId66"/>
    <hyperlink xmlns:r="http://schemas.openxmlformats.org/officeDocument/2006/relationships" ref="D120" r:id="rId67"/>
    <hyperlink xmlns:r="http://schemas.openxmlformats.org/officeDocument/2006/relationships" ref="D121" r:id="rId68"/>
    <hyperlink xmlns:r="http://schemas.openxmlformats.org/officeDocument/2006/relationships" ref="D122" r:id="rId69"/>
    <hyperlink xmlns:r="http://schemas.openxmlformats.org/officeDocument/2006/relationships" ref="D123" r:id="rId70"/>
    <hyperlink xmlns:r="http://schemas.openxmlformats.org/officeDocument/2006/relationships" ref="D125" r:id="rId71"/>
    <hyperlink xmlns:r="http://schemas.openxmlformats.org/officeDocument/2006/relationships" ref="D126" r:id="rId72"/>
    <hyperlink xmlns:r="http://schemas.openxmlformats.org/officeDocument/2006/relationships" ref="D127" r:id="rId73"/>
    <hyperlink xmlns:r="http://schemas.openxmlformats.org/officeDocument/2006/relationships" ref="D128" r:id="rId74"/>
    <hyperlink xmlns:r="http://schemas.openxmlformats.org/officeDocument/2006/relationships" ref="D129" r:id="rId75"/>
    <hyperlink xmlns:r="http://schemas.openxmlformats.org/officeDocument/2006/relationships" ref="D131" r:id="rId76"/>
    <hyperlink xmlns:r="http://schemas.openxmlformats.org/officeDocument/2006/relationships" ref="D132" r:id="rId77"/>
    <hyperlink xmlns:r="http://schemas.openxmlformats.org/officeDocument/2006/relationships" ref="D133" r:id="rId78"/>
    <hyperlink xmlns:r="http://schemas.openxmlformats.org/officeDocument/2006/relationships" ref="D134" r:id="rId79"/>
    <hyperlink xmlns:r="http://schemas.openxmlformats.org/officeDocument/2006/relationships" ref="D135" r:id="rId80"/>
    <hyperlink xmlns:r="http://schemas.openxmlformats.org/officeDocument/2006/relationships" ref="D136" r:id="rId81"/>
    <hyperlink xmlns:r="http://schemas.openxmlformats.org/officeDocument/2006/relationships" ref="D138" r:id="rId82"/>
    <hyperlink xmlns:r="http://schemas.openxmlformats.org/officeDocument/2006/relationships" ref="D139" r:id="rId83"/>
    <hyperlink xmlns:r="http://schemas.openxmlformats.org/officeDocument/2006/relationships" ref="D140" r:id="rId84"/>
    <hyperlink xmlns:r="http://schemas.openxmlformats.org/officeDocument/2006/relationships" ref="D141" r:id="rId85"/>
    <hyperlink xmlns:r="http://schemas.openxmlformats.org/officeDocument/2006/relationships" ref="D142" r:id="rId86"/>
    <hyperlink xmlns:r="http://schemas.openxmlformats.org/officeDocument/2006/relationships" ref="D143" r:id="rId87"/>
    <hyperlink xmlns:r="http://schemas.openxmlformats.org/officeDocument/2006/relationships" ref="D145" r:id="rId88"/>
    <hyperlink xmlns:r="http://schemas.openxmlformats.org/officeDocument/2006/relationships" ref="D146" r:id="rId89"/>
    <hyperlink xmlns:r="http://schemas.openxmlformats.org/officeDocument/2006/relationships" ref="D147" r:id="rId90"/>
    <hyperlink xmlns:r="http://schemas.openxmlformats.org/officeDocument/2006/relationships" ref="D148" r:id="rId91"/>
    <hyperlink xmlns:r="http://schemas.openxmlformats.org/officeDocument/2006/relationships" ref="D149" r:id="rId92"/>
    <hyperlink xmlns:r="http://schemas.openxmlformats.org/officeDocument/2006/relationships" ref="D150" r:id="rId93"/>
    <hyperlink xmlns:r="http://schemas.openxmlformats.org/officeDocument/2006/relationships" ref="D152" r:id="rId94"/>
    <hyperlink xmlns:r="http://schemas.openxmlformats.org/officeDocument/2006/relationships" ref="D153" r:id="rId95"/>
    <hyperlink xmlns:r="http://schemas.openxmlformats.org/officeDocument/2006/relationships" ref="D154" r:id="rId96"/>
    <hyperlink xmlns:r="http://schemas.openxmlformats.org/officeDocument/2006/relationships" ref="D155" r:id="rId97"/>
    <hyperlink xmlns:r="http://schemas.openxmlformats.org/officeDocument/2006/relationships" ref="D156" r:id="rId98"/>
    <hyperlink xmlns:r="http://schemas.openxmlformats.org/officeDocument/2006/relationships" ref="D157" r:id="rId99"/>
    <hyperlink xmlns:r="http://schemas.openxmlformats.org/officeDocument/2006/relationships" ref="D158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2026-10-14T17:16:06Z</dcterms:created>
  <dcterms:modified xmlns:dcterms="http://purl.org/dc/terms/" xmlns:xsi="http://www.w3.org/2001/XMLSchema-instance" xsi:type="dcterms:W3CDTF">2026-10-14T17:16:06Z</dcterms:modified>
</cp:coreProperties>
</file>